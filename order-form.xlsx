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D Lap\Local Disk D\Office Document\Planning 2021-2022\2025\Export\Export Indication\"/>
    </mc:Choice>
  </mc:AlternateContent>
  <xr:revisionPtr revIDLastSave="0" documentId="13_ncr:1_{2BC40894-C81A-4F9E-AF32-0FFCA43A8657}" xr6:coauthVersionLast="47" xr6:coauthVersionMax="47" xr10:uidLastSave="{00000000-0000-0000-0000-000000000000}"/>
  <bookViews>
    <workbookView xWindow="-108" yWindow="-108" windowWidth="23256" windowHeight="12456" xr2:uid="{AFDA273E-7D19-4293-8748-08F72CF730E5}"/>
  </bookViews>
  <sheets>
    <sheet name="OIF 09.17 Up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5" i="1" l="1"/>
  <c r="O105" i="1" s="1"/>
  <c r="M105" i="1"/>
  <c r="J244" i="1"/>
  <c r="L96" i="1"/>
  <c r="O96" i="1" s="1"/>
  <c r="M96" i="1"/>
  <c r="L124" i="1"/>
  <c r="M124" i="1"/>
  <c r="L244" i="1"/>
  <c r="O244" i="1" s="1"/>
  <c r="L249" i="1"/>
  <c r="L248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O222" i="1" s="1"/>
  <c r="L223" i="1"/>
  <c r="L202" i="1"/>
  <c r="L166" i="1"/>
  <c r="L152" i="1"/>
  <c r="L153" i="1"/>
  <c r="L151" i="1"/>
  <c r="L146" i="1"/>
  <c r="L145" i="1"/>
  <c r="L138" i="1"/>
  <c r="L139" i="1"/>
  <c r="L137" i="1"/>
  <c r="L108" i="1"/>
  <c r="L103" i="1"/>
  <c r="L95" i="1"/>
  <c r="L97" i="1"/>
  <c r="L94" i="1"/>
  <c r="L91" i="1"/>
  <c r="L76" i="1"/>
  <c r="L73" i="1"/>
  <c r="L51" i="1"/>
  <c r="L68" i="1"/>
  <c r="L67" i="1"/>
  <c r="L64" i="1"/>
  <c r="L62" i="1"/>
  <c r="L60" i="1"/>
  <c r="L59" i="1"/>
  <c r="L56" i="1"/>
  <c r="L54" i="1"/>
  <c r="L53" i="1"/>
  <c r="L49" i="1"/>
  <c r="L45" i="1"/>
  <c r="L46" i="1"/>
  <c r="L44" i="1"/>
  <c r="L35" i="1"/>
  <c r="L33" i="1"/>
  <c r="L31" i="1"/>
  <c r="L29" i="1"/>
  <c r="L28" i="1"/>
  <c r="L26" i="1"/>
  <c r="O26" i="1" s="1"/>
  <c r="L25" i="1"/>
  <c r="L24" i="1"/>
  <c r="L22" i="1"/>
  <c r="L17" i="1"/>
  <c r="L15" i="1"/>
  <c r="L10" i="1"/>
  <c r="M6" i="1"/>
  <c r="M222" i="1"/>
  <c r="M223" i="1"/>
  <c r="O91" i="1"/>
  <c r="M91" i="1"/>
  <c r="O221" i="1"/>
  <c r="L245" i="1"/>
  <c r="M221" i="1"/>
  <c r="L27" i="1"/>
  <c r="M26" i="1"/>
  <c r="L74" i="1"/>
  <c r="K263" i="1"/>
  <c r="L162" i="1"/>
  <c r="M244" i="1" l="1"/>
  <c r="O124" i="1"/>
  <c r="O223" i="1"/>
  <c r="L156" i="1"/>
  <c r="O156" i="1" s="1"/>
  <c r="M156" i="1"/>
  <c r="O162" i="1"/>
  <c r="M162" i="1"/>
  <c r="L147" i="1"/>
  <c r="O147" i="1" s="1"/>
  <c r="J147" i="1"/>
  <c r="M147" i="1" s="1"/>
  <c r="L252" i="1"/>
  <c r="O252" i="1" s="1"/>
  <c r="J252" i="1"/>
  <c r="M252" i="1" s="1"/>
  <c r="J250" i="1"/>
  <c r="M250" i="1" s="1"/>
  <c r="L250" i="1"/>
  <c r="O250" i="1" s="1"/>
  <c r="O249" i="1"/>
  <c r="O248" i="1"/>
  <c r="J248" i="1"/>
  <c r="M248" i="1" s="1"/>
  <c r="J249" i="1"/>
  <c r="M249" i="1" s="1"/>
  <c r="J246" i="1"/>
  <c r="M246" i="1" s="1"/>
  <c r="L246" i="1"/>
  <c r="O246" i="1" s="1"/>
  <c r="O68" i="1"/>
  <c r="O67" i="1"/>
  <c r="L66" i="1"/>
  <c r="L65" i="1"/>
  <c r="L6" i="1"/>
  <c r="O6" i="1" s="1"/>
  <c r="L32" i="1"/>
  <c r="O32" i="1" s="1"/>
  <c r="O31" i="1"/>
  <c r="L30" i="1"/>
  <c r="O30" i="1" s="1"/>
  <c r="O29" i="1"/>
  <c r="O28" i="1"/>
  <c r="O27" i="1"/>
  <c r="O25" i="1"/>
  <c r="O24" i="1"/>
  <c r="O202" i="1" l="1"/>
  <c r="O203" i="1"/>
  <c r="O204" i="1"/>
  <c r="O205" i="1"/>
  <c r="O206" i="1"/>
  <c r="O207" i="1"/>
  <c r="O208" i="1"/>
  <c r="O209" i="1"/>
  <c r="O210" i="1"/>
  <c r="M203" i="1"/>
  <c r="M202" i="1"/>
  <c r="M209" i="1"/>
  <c r="M206" i="1"/>
  <c r="M208" i="1"/>
  <c r="M207" i="1" l="1"/>
  <c r="M65" i="1"/>
  <c r="O65" i="1"/>
  <c r="O66" i="1"/>
  <c r="M67" i="1"/>
  <c r="M68" i="1"/>
  <c r="O74" i="1" l="1"/>
  <c r="M74" i="1"/>
  <c r="O51" i="1"/>
  <c r="M51" i="1"/>
  <c r="L259" i="1"/>
  <c r="O259" i="1" s="1"/>
  <c r="M262" i="1"/>
  <c r="L262" i="1"/>
  <c r="O262" i="1" s="1"/>
  <c r="M261" i="1"/>
  <c r="L261" i="1"/>
  <c r="O261" i="1" s="1"/>
  <c r="M260" i="1"/>
  <c r="L260" i="1"/>
  <c r="O260" i="1" s="1"/>
  <c r="M259" i="1"/>
  <c r="M258" i="1"/>
  <c r="L258" i="1"/>
  <c r="O258" i="1" s="1"/>
  <c r="L257" i="1"/>
  <c r="O257" i="1" s="1"/>
  <c r="J257" i="1"/>
  <c r="M257" i="1" s="1"/>
  <c r="L256" i="1"/>
  <c r="O256" i="1" s="1"/>
  <c r="J256" i="1"/>
  <c r="M256" i="1" s="1"/>
  <c r="L255" i="1"/>
  <c r="O255" i="1" s="1"/>
  <c r="J255" i="1"/>
  <c r="M255" i="1" s="1"/>
  <c r="L254" i="1"/>
  <c r="O254" i="1" s="1"/>
  <c r="J254" i="1"/>
  <c r="M254" i="1" s="1"/>
  <c r="L253" i="1"/>
  <c r="O253" i="1" s="1"/>
  <c r="J253" i="1"/>
  <c r="M253" i="1" s="1"/>
  <c r="L251" i="1"/>
  <c r="O251" i="1" s="1"/>
  <c r="J251" i="1"/>
  <c r="M251" i="1" s="1"/>
  <c r="L247" i="1"/>
  <c r="O247" i="1" s="1"/>
  <c r="J247" i="1"/>
  <c r="M247" i="1" s="1"/>
  <c r="O245" i="1"/>
  <c r="J245" i="1"/>
  <c r="M245" i="1" s="1"/>
  <c r="L243" i="1"/>
  <c r="O243" i="1" s="1"/>
  <c r="J243" i="1"/>
  <c r="M243" i="1" s="1"/>
  <c r="L242" i="1"/>
  <c r="O242" i="1" s="1"/>
  <c r="J242" i="1"/>
  <c r="M242" i="1" s="1"/>
  <c r="L241" i="1"/>
  <c r="O241" i="1" s="1"/>
  <c r="J241" i="1"/>
  <c r="M241" i="1" s="1"/>
  <c r="L240" i="1"/>
  <c r="O240" i="1" s="1"/>
  <c r="J240" i="1"/>
  <c r="M240" i="1" s="1"/>
  <c r="L239" i="1"/>
  <c r="O239" i="1" s="1"/>
  <c r="J239" i="1"/>
  <c r="M239" i="1" s="1"/>
  <c r="L238" i="1"/>
  <c r="O238" i="1" s="1"/>
  <c r="J238" i="1"/>
  <c r="M238" i="1" s="1"/>
  <c r="L237" i="1"/>
  <c r="O237" i="1" s="1"/>
  <c r="J237" i="1"/>
  <c r="M237" i="1" s="1"/>
  <c r="L236" i="1"/>
  <c r="O236" i="1" s="1"/>
  <c r="J236" i="1"/>
  <c r="M236" i="1" s="1"/>
  <c r="L235" i="1"/>
  <c r="O235" i="1" s="1"/>
  <c r="J235" i="1"/>
  <c r="M235" i="1" s="1"/>
  <c r="L234" i="1"/>
  <c r="O234" i="1" s="1"/>
  <c r="J234" i="1"/>
  <c r="M234" i="1" s="1"/>
  <c r="L233" i="1"/>
  <c r="O233" i="1" s="1"/>
  <c r="J233" i="1"/>
  <c r="M233" i="1" s="1"/>
  <c r="L232" i="1"/>
  <c r="O232" i="1" s="1"/>
  <c r="J232" i="1"/>
  <c r="M232" i="1" s="1"/>
  <c r="L231" i="1"/>
  <c r="O231" i="1" s="1"/>
  <c r="J231" i="1"/>
  <c r="M231" i="1" s="1"/>
  <c r="L229" i="1"/>
  <c r="O229" i="1" s="1"/>
  <c r="J229" i="1"/>
  <c r="M229" i="1" s="1"/>
  <c r="L228" i="1"/>
  <c r="O228" i="1" s="1"/>
  <c r="J228" i="1"/>
  <c r="M228" i="1" s="1"/>
  <c r="L227" i="1"/>
  <c r="O227" i="1" s="1"/>
  <c r="J227" i="1"/>
  <c r="M227" i="1" s="1"/>
  <c r="L226" i="1"/>
  <c r="O226" i="1" s="1"/>
  <c r="J226" i="1"/>
  <c r="M226" i="1" s="1"/>
  <c r="L225" i="1"/>
  <c r="O225" i="1" s="1"/>
  <c r="J225" i="1"/>
  <c r="M225" i="1" s="1"/>
  <c r="M220" i="1"/>
  <c r="O220" i="1"/>
  <c r="M219" i="1"/>
  <c r="O219" i="1"/>
  <c r="M218" i="1"/>
  <c r="O218" i="1"/>
  <c r="M217" i="1"/>
  <c r="O217" i="1"/>
  <c r="M216" i="1"/>
  <c r="O216" i="1"/>
  <c r="M215" i="1"/>
  <c r="O215" i="1"/>
  <c r="M214" i="1"/>
  <c r="O214" i="1"/>
  <c r="M213" i="1"/>
  <c r="O213" i="1"/>
  <c r="M212" i="1"/>
  <c r="O212" i="1"/>
  <c r="M211" i="1"/>
  <c r="O211" i="1"/>
  <c r="M210" i="1"/>
  <c r="M205" i="1"/>
  <c r="M204" i="1"/>
  <c r="M200" i="1"/>
  <c r="L200" i="1"/>
  <c r="O200" i="1" s="1"/>
  <c r="M199" i="1"/>
  <c r="L199" i="1"/>
  <c r="O199" i="1" s="1"/>
  <c r="M198" i="1"/>
  <c r="L198" i="1"/>
  <c r="O198" i="1" s="1"/>
  <c r="M197" i="1"/>
  <c r="L197" i="1"/>
  <c r="O197" i="1" s="1"/>
  <c r="M196" i="1"/>
  <c r="L196" i="1"/>
  <c r="O196" i="1" s="1"/>
  <c r="M194" i="1"/>
  <c r="L194" i="1"/>
  <c r="O194" i="1" s="1"/>
  <c r="M193" i="1"/>
  <c r="L193" i="1"/>
  <c r="O193" i="1" s="1"/>
  <c r="M192" i="1"/>
  <c r="L192" i="1"/>
  <c r="O192" i="1" s="1"/>
  <c r="M191" i="1"/>
  <c r="L191" i="1"/>
  <c r="O191" i="1" s="1"/>
  <c r="M190" i="1"/>
  <c r="L190" i="1"/>
  <c r="O190" i="1" s="1"/>
  <c r="M189" i="1"/>
  <c r="L189" i="1"/>
  <c r="O189" i="1" s="1"/>
  <c r="M188" i="1"/>
  <c r="L188" i="1"/>
  <c r="O188" i="1" s="1"/>
  <c r="M187" i="1"/>
  <c r="L187" i="1"/>
  <c r="O187" i="1" s="1"/>
  <c r="M186" i="1"/>
  <c r="L186" i="1"/>
  <c r="O186" i="1" s="1"/>
  <c r="M185" i="1"/>
  <c r="L185" i="1"/>
  <c r="O185" i="1" s="1"/>
  <c r="M184" i="1"/>
  <c r="L184" i="1"/>
  <c r="O184" i="1" s="1"/>
  <c r="M183" i="1"/>
  <c r="L183" i="1"/>
  <c r="O183" i="1" s="1"/>
  <c r="L181" i="1"/>
  <c r="O181" i="1" s="1"/>
  <c r="J181" i="1"/>
  <c r="M181" i="1" s="1"/>
  <c r="L180" i="1"/>
  <c r="O180" i="1" s="1"/>
  <c r="J180" i="1"/>
  <c r="M180" i="1" s="1"/>
  <c r="L179" i="1"/>
  <c r="O179" i="1" s="1"/>
  <c r="J179" i="1"/>
  <c r="M179" i="1" s="1"/>
  <c r="L178" i="1"/>
  <c r="O178" i="1" s="1"/>
  <c r="J178" i="1"/>
  <c r="M178" i="1" s="1"/>
  <c r="L177" i="1"/>
  <c r="O177" i="1" s="1"/>
  <c r="J177" i="1"/>
  <c r="M177" i="1" s="1"/>
  <c r="L176" i="1"/>
  <c r="O176" i="1" s="1"/>
  <c r="J176" i="1"/>
  <c r="M176" i="1" s="1"/>
  <c r="L175" i="1"/>
  <c r="O175" i="1" s="1"/>
  <c r="J175" i="1"/>
  <c r="M175" i="1" s="1"/>
  <c r="L174" i="1"/>
  <c r="O174" i="1" s="1"/>
  <c r="J174" i="1"/>
  <c r="M174" i="1" s="1"/>
  <c r="M172" i="1"/>
  <c r="L172" i="1"/>
  <c r="O172" i="1" s="1"/>
  <c r="M171" i="1"/>
  <c r="L171" i="1"/>
  <c r="O171" i="1" s="1"/>
  <c r="M170" i="1"/>
  <c r="L170" i="1"/>
  <c r="O170" i="1" s="1"/>
  <c r="M169" i="1"/>
  <c r="L169" i="1"/>
  <c r="O169" i="1" s="1"/>
  <c r="L168" i="1"/>
  <c r="O168" i="1" s="1"/>
  <c r="J168" i="1"/>
  <c r="M168" i="1" s="1"/>
  <c r="M167" i="1"/>
  <c r="L167" i="1"/>
  <c r="O167" i="1" s="1"/>
  <c r="M166" i="1"/>
  <c r="O166" i="1"/>
  <c r="M165" i="1"/>
  <c r="L165" i="1"/>
  <c r="O165" i="1" s="1"/>
  <c r="M164" i="1"/>
  <c r="L164" i="1"/>
  <c r="O164" i="1" s="1"/>
  <c r="M161" i="1"/>
  <c r="L161" i="1"/>
  <c r="O161" i="1" s="1"/>
  <c r="M160" i="1"/>
  <c r="L160" i="1"/>
  <c r="O160" i="1" s="1"/>
  <c r="M159" i="1"/>
  <c r="L159" i="1"/>
  <c r="O159" i="1" s="1"/>
  <c r="M158" i="1"/>
  <c r="L158" i="1"/>
  <c r="O158" i="1" s="1"/>
  <c r="M157" i="1"/>
  <c r="L157" i="1"/>
  <c r="O157" i="1" s="1"/>
  <c r="M155" i="1"/>
  <c r="L155" i="1"/>
  <c r="O155" i="1" s="1"/>
  <c r="M154" i="1"/>
  <c r="L154" i="1"/>
  <c r="O154" i="1" s="1"/>
  <c r="M153" i="1"/>
  <c r="O153" i="1"/>
  <c r="M152" i="1"/>
  <c r="O152" i="1"/>
  <c r="M151" i="1"/>
  <c r="O151" i="1"/>
  <c r="M150" i="1"/>
  <c r="L150" i="1"/>
  <c r="O150" i="1" s="1"/>
  <c r="M149" i="1"/>
  <c r="L149" i="1"/>
  <c r="O149" i="1" s="1"/>
  <c r="O146" i="1"/>
  <c r="J146" i="1"/>
  <c r="M146" i="1" s="1"/>
  <c r="M145" i="1"/>
  <c r="O145" i="1"/>
  <c r="M144" i="1"/>
  <c r="L144" i="1"/>
  <c r="O144" i="1" s="1"/>
  <c r="M143" i="1"/>
  <c r="L143" i="1"/>
  <c r="O143" i="1" s="1"/>
  <c r="M142" i="1"/>
  <c r="L142" i="1"/>
  <c r="O142" i="1" s="1"/>
  <c r="M141" i="1"/>
  <c r="L141" i="1"/>
  <c r="O141" i="1" s="1"/>
  <c r="M139" i="1"/>
  <c r="O139" i="1"/>
  <c r="M138" i="1"/>
  <c r="O138" i="1"/>
  <c r="M137" i="1"/>
  <c r="O137" i="1"/>
  <c r="M136" i="1"/>
  <c r="L136" i="1"/>
  <c r="O136" i="1" s="1"/>
  <c r="M135" i="1"/>
  <c r="L135" i="1"/>
  <c r="O135" i="1" s="1"/>
  <c r="M134" i="1"/>
  <c r="L134" i="1"/>
  <c r="O134" i="1" s="1"/>
  <c r="M133" i="1"/>
  <c r="L133" i="1"/>
  <c r="O133" i="1" s="1"/>
  <c r="M132" i="1"/>
  <c r="L132" i="1"/>
  <c r="O132" i="1" s="1"/>
  <c r="M131" i="1"/>
  <c r="L131" i="1"/>
  <c r="O131" i="1" s="1"/>
  <c r="M130" i="1"/>
  <c r="L130" i="1"/>
  <c r="O130" i="1" s="1"/>
  <c r="M129" i="1"/>
  <c r="L129" i="1"/>
  <c r="O129" i="1" s="1"/>
  <c r="M128" i="1"/>
  <c r="L128" i="1"/>
  <c r="O128" i="1" s="1"/>
  <c r="M127" i="1"/>
  <c r="L127" i="1"/>
  <c r="O127" i="1" s="1"/>
  <c r="M126" i="1"/>
  <c r="L126" i="1"/>
  <c r="O126" i="1" s="1"/>
  <c r="M125" i="1"/>
  <c r="L125" i="1"/>
  <c r="O125" i="1" s="1"/>
  <c r="M123" i="1"/>
  <c r="L123" i="1"/>
  <c r="O123" i="1" s="1"/>
  <c r="M122" i="1"/>
  <c r="L122" i="1"/>
  <c r="O122" i="1" s="1"/>
  <c r="M121" i="1"/>
  <c r="L121" i="1"/>
  <c r="O121" i="1" s="1"/>
  <c r="M120" i="1"/>
  <c r="L120" i="1"/>
  <c r="O120" i="1" s="1"/>
  <c r="M119" i="1"/>
  <c r="L119" i="1"/>
  <c r="O119" i="1" s="1"/>
  <c r="M118" i="1"/>
  <c r="L118" i="1"/>
  <c r="O118" i="1" s="1"/>
  <c r="M117" i="1"/>
  <c r="L117" i="1"/>
  <c r="O117" i="1" s="1"/>
  <c r="M115" i="1"/>
  <c r="L115" i="1"/>
  <c r="O115" i="1" s="1"/>
  <c r="M114" i="1"/>
  <c r="L114" i="1"/>
  <c r="O114" i="1" s="1"/>
  <c r="M113" i="1"/>
  <c r="L113" i="1"/>
  <c r="O113" i="1" s="1"/>
  <c r="M112" i="1"/>
  <c r="L112" i="1"/>
  <c r="O112" i="1" s="1"/>
  <c r="M111" i="1"/>
  <c r="L111" i="1"/>
  <c r="O111" i="1" s="1"/>
  <c r="M110" i="1"/>
  <c r="L110" i="1"/>
  <c r="O110" i="1" s="1"/>
  <c r="M109" i="1"/>
  <c r="L109" i="1"/>
  <c r="O109" i="1" s="1"/>
  <c r="M108" i="1"/>
  <c r="O108" i="1"/>
  <c r="M107" i="1"/>
  <c r="L107" i="1"/>
  <c r="O107" i="1" s="1"/>
  <c r="M106" i="1"/>
  <c r="L106" i="1"/>
  <c r="O106" i="1" s="1"/>
  <c r="M104" i="1"/>
  <c r="L104" i="1"/>
  <c r="O104" i="1" s="1"/>
  <c r="M103" i="1"/>
  <c r="O103" i="1"/>
  <c r="M102" i="1"/>
  <c r="L102" i="1"/>
  <c r="O102" i="1" s="1"/>
  <c r="M101" i="1"/>
  <c r="L101" i="1"/>
  <c r="O101" i="1" s="1"/>
  <c r="M99" i="1"/>
  <c r="L99" i="1"/>
  <c r="O99" i="1" s="1"/>
  <c r="M98" i="1"/>
  <c r="L98" i="1"/>
  <c r="O98" i="1" s="1"/>
  <c r="M97" i="1"/>
  <c r="O97" i="1"/>
  <c r="M95" i="1"/>
  <c r="O95" i="1"/>
  <c r="M94" i="1"/>
  <c r="O94" i="1"/>
  <c r="M93" i="1"/>
  <c r="L93" i="1"/>
  <c r="O93" i="1" s="1"/>
  <c r="M92" i="1"/>
  <c r="L92" i="1"/>
  <c r="O92" i="1" s="1"/>
  <c r="M90" i="1"/>
  <c r="L90" i="1"/>
  <c r="O90" i="1" s="1"/>
  <c r="M89" i="1"/>
  <c r="L89" i="1"/>
  <c r="O89" i="1" s="1"/>
  <c r="M88" i="1"/>
  <c r="L88" i="1"/>
  <c r="O88" i="1" s="1"/>
  <c r="M87" i="1"/>
  <c r="L87" i="1"/>
  <c r="O87" i="1" s="1"/>
  <c r="M86" i="1"/>
  <c r="L86" i="1"/>
  <c r="O86" i="1" s="1"/>
  <c r="M85" i="1"/>
  <c r="L85" i="1"/>
  <c r="O85" i="1" s="1"/>
  <c r="M84" i="1"/>
  <c r="L84" i="1"/>
  <c r="O84" i="1" s="1"/>
  <c r="M83" i="1"/>
  <c r="L83" i="1"/>
  <c r="O83" i="1" s="1"/>
  <c r="M82" i="1"/>
  <c r="L82" i="1"/>
  <c r="O82" i="1" s="1"/>
  <c r="M81" i="1"/>
  <c r="L81" i="1"/>
  <c r="O81" i="1" s="1"/>
  <c r="M80" i="1"/>
  <c r="L80" i="1"/>
  <c r="O80" i="1" s="1"/>
  <c r="M79" i="1"/>
  <c r="L79" i="1"/>
  <c r="O79" i="1" s="1"/>
  <c r="M78" i="1"/>
  <c r="L78" i="1"/>
  <c r="O78" i="1" s="1"/>
  <c r="M77" i="1"/>
  <c r="L77" i="1"/>
  <c r="O77" i="1" s="1"/>
  <c r="M76" i="1"/>
  <c r="O76" i="1"/>
  <c r="M75" i="1"/>
  <c r="L75" i="1"/>
  <c r="O75" i="1" s="1"/>
  <c r="M73" i="1"/>
  <c r="O73" i="1"/>
  <c r="M72" i="1"/>
  <c r="L72" i="1"/>
  <c r="O72" i="1" s="1"/>
  <c r="M71" i="1"/>
  <c r="L71" i="1"/>
  <c r="O71" i="1" s="1"/>
  <c r="M70" i="1"/>
  <c r="L70" i="1"/>
  <c r="O70" i="1" s="1"/>
  <c r="M66" i="1"/>
  <c r="M64" i="1"/>
  <c r="O64" i="1"/>
  <c r="M63" i="1"/>
  <c r="L63" i="1"/>
  <c r="O63" i="1" s="1"/>
  <c r="M62" i="1"/>
  <c r="O62" i="1"/>
  <c r="M61" i="1"/>
  <c r="L61" i="1"/>
  <c r="O61" i="1" s="1"/>
  <c r="M60" i="1"/>
  <c r="O60" i="1"/>
  <c r="M59" i="1"/>
  <c r="O59" i="1"/>
  <c r="M58" i="1"/>
  <c r="L58" i="1"/>
  <c r="O58" i="1" s="1"/>
  <c r="M57" i="1"/>
  <c r="L57" i="1"/>
  <c r="O57" i="1" s="1"/>
  <c r="M56" i="1"/>
  <c r="O56" i="1"/>
  <c r="M55" i="1"/>
  <c r="L55" i="1"/>
  <c r="O55" i="1" s="1"/>
  <c r="M54" i="1"/>
  <c r="O54" i="1"/>
  <c r="M53" i="1"/>
  <c r="O53" i="1"/>
  <c r="M52" i="1"/>
  <c r="L52" i="1"/>
  <c r="O52" i="1" s="1"/>
  <c r="M50" i="1"/>
  <c r="L50" i="1"/>
  <c r="O50" i="1" s="1"/>
  <c r="M49" i="1"/>
  <c r="O49" i="1"/>
  <c r="M48" i="1"/>
  <c r="L48" i="1"/>
  <c r="O48" i="1" s="1"/>
  <c r="M47" i="1"/>
  <c r="L47" i="1"/>
  <c r="O47" i="1" s="1"/>
  <c r="M46" i="1"/>
  <c r="O46" i="1"/>
  <c r="M45" i="1"/>
  <c r="O45" i="1"/>
  <c r="M44" i="1"/>
  <c r="O44" i="1"/>
  <c r="M43" i="1"/>
  <c r="L43" i="1"/>
  <c r="O43" i="1" s="1"/>
  <c r="M42" i="1"/>
  <c r="L42" i="1"/>
  <c r="O42" i="1" s="1"/>
  <c r="M41" i="1"/>
  <c r="L41" i="1"/>
  <c r="O41" i="1" s="1"/>
  <c r="M40" i="1"/>
  <c r="L40" i="1"/>
  <c r="O40" i="1" s="1"/>
  <c r="M39" i="1"/>
  <c r="L39" i="1"/>
  <c r="O39" i="1" s="1"/>
  <c r="M38" i="1"/>
  <c r="L38" i="1"/>
  <c r="O38" i="1" s="1"/>
  <c r="M37" i="1"/>
  <c r="L37" i="1"/>
  <c r="O37" i="1" s="1"/>
  <c r="M36" i="1"/>
  <c r="L36" i="1"/>
  <c r="O36" i="1" s="1"/>
  <c r="M11" i="1"/>
  <c r="L11" i="1"/>
  <c r="O11" i="1" s="1"/>
  <c r="M10" i="1"/>
  <c r="O10" i="1"/>
  <c r="M9" i="1"/>
  <c r="L9" i="1"/>
  <c r="O9" i="1" s="1"/>
  <c r="M8" i="1"/>
  <c r="L8" i="1"/>
  <c r="O8" i="1" s="1"/>
  <c r="M7" i="1"/>
  <c r="L7" i="1"/>
  <c r="O7" i="1" s="1"/>
  <c r="M35" i="1"/>
  <c r="O35" i="1"/>
  <c r="M34" i="1"/>
  <c r="L34" i="1"/>
  <c r="O34" i="1" s="1"/>
  <c r="M33" i="1"/>
  <c r="O33" i="1"/>
  <c r="M32" i="1"/>
  <c r="M31" i="1"/>
  <c r="M30" i="1"/>
  <c r="M25" i="1"/>
  <c r="M24" i="1"/>
  <c r="M23" i="1"/>
  <c r="L23" i="1"/>
  <c r="O23" i="1" s="1"/>
  <c r="M22" i="1"/>
  <c r="O22" i="1"/>
  <c r="M21" i="1"/>
  <c r="L21" i="1"/>
  <c r="O21" i="1" s="1"/>
  <c r="M20" i="1"/>
  <c r="L20" i="1"/>
  <c r="O20" i="1" s="1"/>
  <c r="M19" i="1"/>
  <c r="L19" i="1"/>
  <c r="O19" i="1" s="1"/>
  <c r="M18" i="1"/>
  <c r="L18" i="1"/>
  <c r="O18" i="1" s="1"/>
  <c r="M17" i="1"/>
  <c r="O17" i="1"/>
  <c r="M16" i="1"/>
  <c r="L16" i="1"/>
  <c r="O16" i="1" s="1"/>
  <c r="M15" i="1"/>
  <c r="O15" i="1"/>
  <c r="M14" i="1"/>
  <c r="L14" i="1"/>
  <c r="O14" i="1" s="1"/>
  <c r="M13" i="1"/>
  <c r="L13" i="1"/>
  <c r="O13" i="1" s="1"/>
  <c r="M12" i="1"/>
  <c r="L12" i="1"/>
  <c r="O12" i="1" s="1"/>
  <c r="L263" i="1" l="1"/>
  <c r="M26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tc={463B8F0E-DE14-4B4E-9CE8-86BD567381F4}</author>
    <author>tc={FC6A58C1-950D-4322-B006-239A173344C9}</author>
    <author>tc={B4396A1F-038A-40EC-BAC9-C44594294A16}</author>
    <author>tc={4845D1A1-757E-40AF-8D39-70E117EC3A6B}</author>
    <author>tc={508A3296-A3D3-40E7-9E27-EEE1885D8CF4}</author>
    <author>tc={3F82B8E5-084A-422A-9E61-3E78FFAE8397}</author>
    <author>tc={6A5CB5ED-506F-4985-BD72-1DF749313C9E}</author>
    <author>tc={8AEAE7FA-7D98-40DF-99C0-6326B7CE083D}</author>
  </authors>
  <commentList>
    <comment ref="D124" authorId="0" shapeId="0" xr:uid="{463B8F0E-DE14-4B4E-9CE8-86BD567381F4}">
      <text>
        <t>[Threaded comment]
Your version of Excel allows you to read this threaded comment; however, any edits to it will get removed if the file is opened in a newer version of Excel. Learn more: https://go.microsoft.com/fwlink/?linkid=870924
Comment:
    Bundle 24 (Australia )</t>
      </text>
    </comment>
    <comment ref="D125" authorId="1" shapeId="0" xr:uid="{FC6A58C1-950D-4322-B006-239A173344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Bundle 24 (Australia )
</t>
      </text>
    </comment>
    <comment ref="D126" authorId="2" shapeId="0" xr:uid="{B4396A1F-038A-40EC-BAC9-C44594294A16}">
      <text>
        <t>[Threaded comment]
Your version of Excel allows you to read this threaded comment; however, any edits to it will get removed if the file is opened in a newer version of Excel. Learn more: https://go.microsoft.com/fwlink/?linkid=870924
Comment:
    Bundle 24 (Australia )</t>
      </text>
    </comment>
    <comment ref="D127" authorId="3" shapeId="0" xr:uid="{4845D1A1-757E-40AF-8D39-70E117EC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Bundle 24 (Australia )</t>
      </text>
    </comment>
    <comment ref="D129" authorId="4" shapeId="0" xr:uid="{508A3296-A3D3-40E7-9E27-EEE1885D8CF4}">
      <text>
        <t>[Threaded comment]
Your version of Excel allows you to read this threaded comment; however, any edits to it will get removed if the file is opened in a newer version of Excel. Learn more: https://go.microsoft.com/fwlink/?linkid=870924
Comment:
    Bundle 24 (Australia )</t>
      </text>
    </comment>
    <comment ref="D130" authorId="5" shapeId="0" xr:uid="{3F82B8E5-084A-422A-9E61-3E78FFAE8397}">
      <text>
        <t>[Threaded comment]
Your version of Excel allows you to read this threaded comment; however, any edits to it will get removed if the file is opened in a newer version of Excel. Learn more: https://go.microsoft.com/fwlink/?linkid=870924
Comment:
    Bundle 24 (Australia )</t>
      </text>
    </comment>
    <comment ref="D136" authorId="6" shapeId="0" xr:uid="{6A5CB5ED-506F-4985-BD72-1DF749313C9E}">
      <text>
        <t>[Threaded comment]
Your version of Excel allows you to read this threaded comment; however, any edits to it will get removed if the file is opened in a newer version of Excel. Learn more: https://go.microsoft.com/fwlink/?linkid=870924
Comment:
    Bundle 24 (Australia )</t>
      </text>
    </comment>
    <comment ref="I167" authorId="7" shapeId="0" xr:uid="{8AEAE7FA-7D98-40DF-99C0-6326B7CE083D}">
      <text>
        <t>[Threaded comment]
Your version of Excel allows you to read this threaded comment; however, any edits to it will get removed if the file is opened in a newer version of Excel. Learn more: https://go.microsoft.com/fwlink/?linkid=870924
Comment:
    4 Rasam Box +Cup 32 = 80           14*14*9 Box</t>
      </text>
    </comment>
  </commentList>
</comments>
</file>

<file path=xl/sharedStrings.xml><?xml version="1.0" encoding="utf-8"?>
<sst xmlns="http://schemas.openxmlformats.org/spreadsheetml/2006/main" count="1677" uniqueCount="179">
  <si>
    <t>Dimensions ,Number of Packets per Box  &amp;CBM</t>
  </si>
  <si>
    <t>NO.</t>
  </si>
  <si>
    <t xml:space="preserve">Item </t>
  </si>
  <si>
    <t>Weight</t>
  </si>
  <si>
    <t>Printed Pouch</t>
  </si>
  <si>
    <t>Standup pouch</t>
  </si>
  <si>
    <t>Unprinted Pouch</t>
  </si>
  <si>
    <t>Bottle /Canisters</t>
  </si>
  <si>
    <t>Box</t>
  </si>
  <si>
    <t>Cup</t>
  </si>
  <si>
    <t>Per Box CBM</t>
  </si>
  <si>
    <t>BOX Quantity</t>
  </si>
  <si>
    <t>Order Quantity (Pkts)</t>
  </si>
  <si>
    <t>CBM</t>
  </si>
  <si>
    <t>Spices</t>
  </si>
  <si>
    <t xml:space="preserve">Chilli pods </t>
  </si>
  <si>
    <t>100g</t>
  </si>
  <si>
    <t>X</t>
  </si>
  <si>
    <t>250g</t>
  </si>
  <si>
    <t>400g</t>
  </si>
  <si>
    <t>Chilli powder</t>
  </si>
  <si>
    <t>50g</t>
  </si>
  <si>
    <t>500g</t>
  </si>
  <si>
    <t>1kg</t>
  </si>
  <si>
    <t xml:space="preserve">Chilli pieces </t>
  </si>
  <si>
    <t>Roasted Chilli Powder</t>
  </si>
  <si>
    <t xml:space="preserve">Turmeric powder </t>
  </si>
  <si>
    <t>25g</t>
  </si>
  <si>
    <t xml:space="preserve">1kg </t>
  </si>
  <si>
    <t>Pepper Powder</t>
  </si>
  <si>
    <t>Mustard  Powder</t>
  </si>
  <si>
    <t>200g</t>
  </si>
  <si>
    <t>Roasted Fenugreek</t>
  </si>
  <si>
    <t xml:space="preserve">Cumin Seeds </t>
  </si>
  <si>
    <t>Cumin Powder</t>
  </si>
  <si>
    <t>Dill Seeds</t>
  </si>
  <si>
    <t>Fennel Seeds</t>
  </si>
  <si>
    <t>Mustard Seeds</t>
  </si>
  <si>
    <t>Clove</t>
  </si>
  <si>
    <t>Cinnamon Stick C4</t>
  </si>
  <si>
    <t>80g</t>
  </si>
  <si>
    <t>60g</t>
  </si>
  <si>
    <t>Cinnamon Powder</t>
  </si>
  <si>
    <t>Spice Blends</t>
  </si>
  <si>
    <t>Curry Powder</t>
  </si>
  <si>
    <t>225g</t>
  </si>
  <si>
    <t>Roasted Curry Powder</t>
  </si>
  <si>
    <t>Meat Curry Powder</t>
  </si>
  <si>
    <t>Jaffna Curry Powder</t>
  </si>
  <si>
    <t>Fish Curry Powder</t>
  </si>
  <si>
    <t>35g</t>
  </si>
  <si>
    <t>Vegetable Curry Mix</t>
  </si>
  <si>
    <t xml:space="preserve">Malu Ambhulthiyal </t>
  </si>
  <si>
    <t>Flour</t>
  </si>
  <si>
    <t>String Hopper flour - Red</t>
  </si>
  <si>
    <t>String Hopper flour - White</t>
  </si>
  <si>
    <t xml:space="preserve">Kurakkan powder </t>
  </si>
  <si>
    <t xml:space="preserve">Ulundu flour </t>
  </si>
  <si>
    <t>Atta Flour</t>
  </si>
  <si>
    <t>Thosai Mixture</t>
  </si>
  <si>
    <t>Kadala piti</t>
  </si>
  <si>
    <t>Soya</t>
  </si>
  <si>
    <t xml:space="preserve">Curry Soya </t>
  </si>
  <si>
    <t xml:space="preserve">Chicken Soya </t>
  </si>
  <si>
    <t>Cuttlefish Soya</t>
  </si>
  <si>
    <t>Cheese Rasa Soya</t>
  </si>
  <si>
    <t>Milky Fish Soya</t>
  </si>
  <si>
    <t>Blackcurry Soya</t>
  </si>
  <si>
    <t>Chicken Soya</t>
  </si>
  <si>
    <t xml:space="preserve">Cuttlefish soya </t>
  </si>
  <si>
    <t xml:space="preserve">Roasted chicken soya </t>
  </si>
  <si>
    <t>Polos soya</t>
  </si>
  <si>
    <t>Prawn Soya</t>
  </si>
  <si>
    <t>Maldivefish soya</t>
  </si>
  <si>
    <t>70g</t>
  </si>
  <si>
    <t>Curry Soya</t>
  </si>
  <si>
    <t>90g</t>
  </si>
  <si>
    <t>Polos Soya</t>
  </si>
  <si>
    <t xml:space="preserve">Sprat Flavored Soya </t>
  </si>
  <si>
    <t>Kosata Kalupol Soya</t>
  </si>
  <si>
    <t xml:space="preserve">Devilled Chicken Soya </t>
  </si>
  <si>
    <t xml:space="preserve">Plain Soya </t>
  </si>
  <si>
    <t xml:space="preserve">Gamboge Cream </t>
  </si>
  <si>
    <t>Gamboge Pieces</t>
  </si>
  <si>
    <t>Appertizers</t>
  </si>
  <si>
    <t>Maldive fish pieces</t>
  </si>
  <si>
    <t xml:space="preserve">Maldive Fish Sambal </t>
  </si>
  <si>
    <t>Karakaras</t>
  </si>
  <si>
    <t>Karakaras Party Pack</t>
  </si>
  <si>
    <t xml:space="preserve">Pappadam </t>
  </si>
  <si>
    <t>Beverages</t>
  </si>
  <si>
    <t>Sago</t>
  </si>
  <si>
    <t xml:space="preserve">Rasam Cream </t>
  </si>
  <si>
    <t>Rasam Cream Bottle</t>
  </si>
  <si>
    <t>120g</t>
  </si>
  <si>
    <t>Barly Vanilla</t>
  </si>
  <si>
    <t>Coffee Powder</t>
  </si>
  <si>
    <t>20g</t>
  </si>
  <si>
    <t>Canisters</t>
  </si>
  <si>
    <t>Sri Lankan Curry Powder -Canisters</t>
  </si>
  <si>
    <t>Sri lankan Masala Curry Powder -Canisters</t>
  </si>
  <si>
    <t>Turmeric powder  -Canisters</t>
  </si>
  <si>
    <t>Cinnamon Powder C4 -Canisters</t>
  </si>
  <si>
    <t>150g</t>
  </si>
  <si>
    <t>Cinnamon Stick C4 -Canisters</t>
  </si>
  <si>
    <t>Pepper Powder  -Canisters</t>
  </si>
  <si>
    <t>White Pepper Powder -Canisters</t>
  </si>
  <si>
    <t>Tea -Canisters</t>
  </si>
  <si>
    <t>Dehydrated Items</t>
  </si>
  <si>
    <t>Dehydrated Jack</t>
  </si>
  <si>
    <t xml:space="preserve">Dehydrated Breadfruit (Del) </t>
  </si>
  <si>
    <t>Pandan leaves (Rampe)</t>
  </si>
  <si>
    <t xml:space="preserve">Dehydrated Kohila </t>
  </si>
  <si>
    <t>Curry leaves Powder</t>
  </si>
  <si>
    <t>Lemongrass Powder</t>
  </si>
  <si>
    <t>Garlic Powder</t>
  </si>
  <si>
    <t>Ginger Powder</t>
  </si>
  <si>
    <t>Noodles</t>
  </si>
  <si>
    <t>Hot with Spice Noodles</t>
  </si>
  <si>
    <t>Vegetable Noodles</t>
  </si>
  <si>
    <t>130g</t>
  </si>
  <si>
    <t>350g</t>
  </si>
  <si>
    <t>Special Noodles</t>
  </si>
  <si>
    <t>Normal Noodles</t>
  </si>
  <si>
    <t>Bulk Orders</t>
  </si>
  <si>
    <t>2.5kg</t>
  </si>
  <si>
    <t>Pepper Crush</t>
  </si>
  <si>
    <t>Pepper Seed</t>
  </si>
  <si>
    <t>Mustard  Seed</t>
  </si>
  <si>
    <t>Corriender Seed</t>
  </si>
  <si>
    <t xml:space="preserve"> Fenugreek seed</t>
  </si>
  <si>
    <t>5kg</t>
  </si>
  <si>
    <t xml:space="preserve">Roasted Fenugreek </t>
  </si>
  <si>
    <t>Other</t>
  </si>
  <si>
    <t>Salt - Normal</t>
  </si>
  <si>
    <t>Vinegar Bottle</t>
  </si>
  <si>
    <t>350ml</t>
  </si>
  <si>
    <t>750ml</t>
  </si>
  <si>
    <t>Vinegar Bottle Artificial</t>
  </si>
  <si>
    <t>Sesame Seeds -Bottle</t>
  </si>
  <si>
    <t>Sri Lankan Curry Powder -Bottle</t>
  </si>
  <si>
    <t>Sri lankan Masala Curry Powder -Bottle</t>
  </si>
  <si>
    <t>Salt and Pepper Spice Mix Powder -Bottle</t>
  </si>
  <si>
    <t>Salt and Pepper Spice Mix Crush -Bottle</t>
  </si>
  <si>
    <t>Salt, Pepper and Ginger Spice Mix Powder  -Bottle</t>
  </si>
  <si>
    <t>Salt, Pepper and Ginger Spice Mix Crush</t>
  </si>
  <si>
    <t>Salt,Chilli Pepper Spicy Mix Crush -Bottle</t>
  </si>
  <si>
    <t>Salt Chilli Pepper Spicy Mix Powder -Bottle</t>
  </si>
  <si>
    <t>Chilli powder -Bottle</t>
  </si>
  <si>
    <t>Chilli crush -Bottle</t>
  </si>
  <si>
    <t>40g</t>
  </si>
  <si>
    <t>Turmeric powder  -Bottle</t>
  </si>
  <si>
    <t>Pepper Powder -Bottle</t>
  </si>
  <si>
    <t>Cinnamon Powder-Bottle</t>
  </si>
  <si>
    <t>Maldive Fish Sambal -Bottle</t>
  </si>
  <si>
    <t>Chilli Paste -Bottle</t>
  </si>
  <si>
    <t>Dhall,Potatoes Curry Mix Box</t>
  </si>
  <si>
    <t>Polos Pumking Curry Mix Box</t>
  </si>
  <si>
    <t>Green Curry Masala Box</t>
  </si>
  <si>
    <t>Red Curry Masala Box</t>
  </si>
  <si>
    <t>Black Curry Masala Box</t>
  </si>
  <si>
    <t>Summary</t>
  </si>
  <si>
    <t xml:space="preserve">Cardamom </t>
  </si>
  <si>
    <t xml:space="preserve">Chilli Crushed </t>
  </si>
  <si>
    <t>Clove pod</t>
  </si>
  <si>
    <t>Turmeric  powder</t>
  </si>
  <si>
    <t>Cordamom</t>
  </si>
  <si>
    <t>Column1</t>
  </si>
  <si>
    <t>Kg</t>
  </si>
  <si>
    <t xml:space="preserve">Pepper Seeds </t>
  </si>
  <si>
    <t xml:space="preserve">Pepper Crush </t>
  </si>
  <si>
    <t xml:space="preserve">White Pepper Powder </t>
  </si>
  <si>
    <t xml:space="preserve">White Pepper Seeds </t>
  </si>
  <si>
    <t>BBQ Bite</t>
  </si>
  <si>
    <t xml:space="preserve">Pepper Seed </t>
  </si>
  <si>
    <t>Corriander Seeds</t>
  </si>
  <si>
    <t>Rice Flour  Unprinted Pouch</t>
  </si>
  <si>
    <t>Update :-2026/09/17</t>
  </si>
  <si>
    <t>Update :-2026/09/16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</si>
</sst>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??_-;_-@_-"/>
    <numFmt numFmtId="165" formatCode="0.000"/>
    <numFmt numFmtId="166" formatCode="0.00000"/>
    <numFmt numFmtId="167" formatCode="_(* #,##0_);_(* \(#,##0\);_(* &quot;-&quot;??_);_(@_)"/>
    <numFmt numFmtId="168" formatCode="_(* #,##0.0_);_(* \(#,##0.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5"/>
      <color theme="1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theme="1"/>
      <name val="Times New Roman"/>
      <family val="1"/>
    </font>
    <font>
      <sz val="8"/>
      <name val="Aptos Narrow"/>
      <family val="2"/>
      <scheme val="minor"/>
    </font>
    <font>
      <b/>
      <sz val="16"/>
      <color theme="1"/>
      <name val="Times New Roman"/>
      <family val="1"/>
    </font>
    <font>
      <sz val="1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textRotation="90" wrapText="1"/>
    </xf>
    <xf numFmtId="0" fontId="6" fillId="0" borderId="2" xfId="0" applyFont="1" applyBorder="1" applyAlignment="1">
      <alignment textRotation="90"/>
    </xf>
    <xf numFmtId="0" fontId="6" fillId="0" borderId="2" xfId="0" applyFont="1" applyBorder="1" applyAlignment="1">
      <alignment horizontal="center" textRotation="90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9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164" fontId="10" fillId="0" borderId="9" xfId="1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164" fontId="9" fillId="0" borderId="9" xfId="0" applyNumberFormat="1" applyFont="1" applyBorder="1"/>
    <xf numFmtId="2" fontId="9" fillId="0" borderId="9" xfId="0" applyNumberFormat="1" applyFont="1" applyBorder="1"/>
    <xf numFmtId="0" fontId="9" fillId="0" borderId="0" xfId="0" applyFont="1"/>
    <xf numFmtId="0" fontId="4" fillId="0" borderId="9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164" fontId="9" fillId="5" borderId="9" xfId="1" applyNumberFormat="1" applyFont="1" applyFill="1" applyBorder="1" applyAlignment="1">
      <alignment horizontal="center" vertical="center" wrapText="1"/>
    </xf>
    <xf numFmtId="164" fontId="9" fillId="4" borderId="9" xfId="1" applyNumberFormat="1" applyFont="1" applyFill="1" applyBorder="1" applyAlignment="1">
      <alignment horizontal="center" vertical="center" wrapText="1"/>
    </xf>
    <xf numFmtId="164" fontId="10" fillId="0" borderId="9" xfId="1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164" fontId="3" fillId="5" borderId="9" xfId="1" applyNumberFormat="1" applyFont="1" applyFill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center" vertical="center" wrapText="1"/>
    </xf>
    <xf numFmtId="2" fontId="9" fillId="0" borderId="9" xfId="0" applyNumberFormat="1" applyFont="1" applyBorder="1" applyAlignment="1">
      <alignment horizontal="right"/>
    </xf>
    <xf numFmtId="164" fontId="9" fillId="5" borderId="9" xfId="1" applyNumberFormat="1" applyFont="1" applyFill="1" applyBorder="1" applyAlignment="1">
      <alignment horizontal="center" vertical="center"/>
    </xf>
    <xf numFmtId="164" fontId="3" fillId="5" borderId="9" xfId="1" applyNumberFormat="1" applyFont="1" applyFill="1" applyBorder="1" applyAlignment="1">
      <alignment horizontal="center" vertical="center"/>
    </xf>
    <xf numFmtId="164" fontId="9" fillId="5" borderId="9" xfId="1" applyNumberFormat="1" applyFont="1" applyFill="1" applyBorder="1" applyAlignment="1">
      <alignment vertical="center" wrapText="1"/>
    </xf>
    <xf numFmtId="0" fontId="10" fillId="0" borderId="9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3" borderId="9" xfId="0" applyFont="1" applyFill="1" applyBorder="1" applyAlignment="1">
      <alignment horizontal="center"/>
    </xf>
    <xf numFmtId="0" fontId="9" fillId="0" borderId="9" xfId="0" applyFont="1" applyBorder="1"/>
    <xf numFmtId="164" fontId="9" fillId="0" borderId="9" xfId="1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right" vertical="center"/>
    </xf>
    <xf numFmtId="0" fontId="8" fillId="6" borderId="11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5" borderId="9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3" fillId="4" borderId="11" xfId="0" applyFont="1" applyFill="1" applyBorder="1" applyAlignment="1">
      <alignment horizontal="center" wrapText="1"/>
    </xf>
    <xf numFmtId="0" fontId="8" fillId="4" borderId="7" xfId="0" applyFont="1" applyFill="1" applyBorder="1" applyAlignment="1">
      <alignment horizontal="center" wrapText="1"/>
    </xf>
    <xf numFmtId="0" fontId="8" fillId="4" borderId="12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vertical="center" wrapText="1"/>
    </xf>
    <xf numFmtId="0" fontId="12" fillId="5" borderId="9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9" fillId="3" borderId="9" xfId="0" applyFont="1" applyFill="1" applyBorder="1" applyAlignment="1">
      <alignment horizontal="center"/>
    </xf>
    <xf numFmtId="0" fontId="3" fillId="5" borderId="9" xfId="0" applyFont="1" applyFill="1" applyBorder="1" applyAlignment="1">
      <alignment vertical="center"/>
    </xf>
    <xf numFmtId="0" fontId="9" fillId="7" borderId="10" xfId="0" applyFont="1" applyFill="1" applyBorder="1" applyAlignment="1">
      <alignment horizontal="right" vertical="center"/>
    </xf>
    <xf numFmtId="0" fontId="8" fillId="7" borderId="11" xfId="0" applyFont="1" applyFill="1" applyBorder="1" applyAlignment="1">
      <alignment horizontal="center" wrapText="1"/>
    </xf>
    <xf numFmtId="0" fontId="8" fillId="7" borderId="7" xfId="0" applyFont="1" applyFill="1" applyBorder="1" applyAlignment="1">
      <alignment horizontal="center" wrapText="1"/>
    </xf>
    <xf numFmtId="0" fontId="8" fillId="7" borderId="12" xfId="0" applyFont="1" applyFill="1" applyBorder="1" applyAlignment="1">
      <alignment horizontal="center" wrapText="1"/>
    </xf>
    <xf numFmtId="0" fontId="11" fillId="5" borderId="9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wrapText="1"/>
    </xf>
    <xf numFmtId="0" fontId="8" fillId="6" borderId="7" xfId="0" applyFont="1" applyFill="1" applyBorder="1" applyAlignment="1">
      <alignment horizontal="center" wrapText="1"/>
    </xf>
    <xf numFmtId="0" fontId="8" fillId="6" borderId="12" xfId="0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wrapText="1"/>
    </xf>
    <xf numFmtId="0" fontId="8" fillId="8" borderId="7" xfId="0" applyFont="1" applyFill="1" applyBorder="1" applyAlignment="1">
      <alignment horizontal="center" wrapText="1"/>
    </xf>
    <xf numFmtId="0" fontId="8" fillId="8" borderId="1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/>
    </xf>
    <xf numFmtId="0" fontId="9" fillId="8" borderId="2" xfId="0" applyFont="1" applyFill="1" applyBorder="1"/>
    <xf numFmtId="0" fontId="9" fillId="5" borderId="9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12" fillId="3" borderId="9" xfId="0" applyFont="1" applyFill="1" applyBorder="1" applyAlignment="1">
      <alignment horizontal="center" wrapText="1"/>
    </xf>
    <xf numFmtId="0" fontId="12" fillId="5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4" fillId="3" borderId="9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 wrapText="1"/>
    </xf>
    <xf numFmtId="0" fontId="8" fillId="8" borderId="15" xfId="0" applyFont="1" applyFill="1" applyBorder="1" applyAlignment="1">
      <alignment horizontal="center" wrapText="1"/>
    </xf>
    <xf numFmtId="0" fontId="8" fillId="8" borderId="16" xfId="0" applyFont="1" applyFill="1" applyBorder="1" applyAlignment="1">
      <alignment horizontal="center" wrapText="1"/>
    </xf>
    <xf numFmtId="0" fontId="9" fillId="0" borderId="17" xfId="0" applyFont="1" applyBorder="1" applyAlignment="1">
      <alignment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  <xf numFmtId="2" fontId="3" fillId="0" borderId="4" xfId="0" applyNumberFormat="1" applyFont="1" applyBorder="1"/>
    <xf numFmtId="0" fontId="9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 vertical="center"/>
    </xf>
    <xf numFmtId="2" fontId="3" fillId="0" borderId="18" xfId="0" applyNumberFormat="1" applyFont="1" applyBorder="1"/>
    <xf numFmtId="0" fontId="9" fillId="0" borderId="19" xfId="0" applyFont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2" borderId="2" xfId="0" applyFont="1" applyFill="1" applyBorder="1"/>
    <xf numFmtId="0" fontId="3" fillId="0" borderId="17" xfId="0" applyFont="1" applyBorder="1" applyAlignment="1">
      <alignment horizontal="left" vertical="center" wrapText="1"/>
    </xf>
    <xf numFmtId="0" fontId="9" fillId="3" borderId="17" xfId="0" applyFont="1" applyFill="1" applyBorder="1" applyAlignment="1">
      <alignment horizontal="center" vertical="center" wrapText="1"/>
    </xf>
    <xf numFmtId="164" fontId="9" fillId="0" borderId="17" xfId="0" applyNumberFormat="1" applyFont="1" applyBorder="1"/>
    <xf numFmtId="2" fontId="9" fillId="0" borderId="20" xfId="0" applyNumberFormat="1" applyFont="1" applyBorder="1"/>
    <xf numFmtId="2" fontId="9" fillId="0" borderId="21" xfId="0" applyNumberFormat="1" applyFont="1" applyBorder="1"/>
    <xf numFmtId="165" fontId="4" fillId="9" borderId="9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9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64" fontId="9" fillId="0" borderId="5" xfId="0" applyNumberFormat="1" applyFont="1" applyBorder="1"/>
    <xf numFmtId="2" fontId="9" fillId="0" borderId="13" xfId="0" applyNumberFormat="1" applyFont="1" applyBorder="1"/>
    <xf numFmtId="0" fontId="9" fillId="2" borderId="1" xfId="0" applyFont="1" applyFill="1" applyBorder="1" applyAlignment="1">
      <alignment horizontal="right" vertical="center"/>
    </xf>
    <xf numFmtId="0" fontId="3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10" borderId="25" xfId="0" applyFont="1" applyFill="1" applyBorder="1" applyAlignment="1">
      <alignment horizontal="center"/>
    </xf>
    <xf numFmtId="164" fontId="2" fillId="10" borderId="25" xfId="0" applyNumberFormat="1" applyFont="1" applyFill="1" applyBorder="1"/>
    <xf numFmtId="2" fontId="2" fillId="10" borderId="26" xfId="0" applyNumberFormat="1" applyFont="1" applyFill="1" applyBorder="1"/>
    <xf numFmtId="0" fontId="9" fillId="0" borderId="1" xfId="0" applyFont="1" applyBorder="1" applyAlignment="1">
      <alignment horizontal="right" vertical="center"/>
    </xf>
    <xf numFmtId="166" fontId="2" fillId="0" borderId="0" xfId="0" applyNumberFormat="1" applyFont="1"/>
    <xf numFmtId="0" fontId="3" fillId="11" borderId="0" xfId="0" applyFont="1" applyFill="1"/>
    <xf numFmtId="0" fontId="9" fillId="5" borderId="10" xfId="0" applyFont="1" applyFill="1" applyBorder="1" applyAlignment="1">
      <alignment horizontal="right" vertical="center"/>
    </xf>
    <xf numFmtId="164" fontId="3" fillId="0" borderId="9" xfId="1" applyNumberFormat="1" applyFont="1" applyFill="1" applyBorder="1" applyAlignment="1">
      <alignment horizontal="center" vertical="center"/>
    </xf>
    <xf numFmtId="164" fontId="3" fillId="12" borderId="9" xfId="1" applyNumberFormat="1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right" vertical="center"/>
    </xf>
    <xf numFmtId="0" fontId="9" fillId="4" borderId="10" xfId="0" applyFont="1" applyFill="1" applyBorder="1" applyAlignment="1">
      <alignment horizontal="right" vertical="center"/>
    </xf>
    <xf numFmtId="0" fontId="9" fillId="2" borderId="10" xfId="0" applyFont="1" applyFill="1" applyBorder="1" applyAlignment="1">
      <alignment horizontal="right" vertical="center"/>
    </xf>
    <xf numFmtId="0" fontId="9" fillId="5" borderId="9" xfId="0" applyFont="1" applyFill="1" applyBorder="1" applyAlignment="1">
      <alignment horizontal="center" vertical="center"/>
    </xf>
    <xf numFmtId="2" fontId="9" fillId="0" borderId="21" xfId="0" applyNumberFormat="1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167" fontId="2" fillId="0" borderId="0" xfId="1" applyNumberFormat="1" applyFont="1"/>
    <xf numFmtId="168" fontId="8" fillId="2" borderId="8" xfId="1" applyNumberFormat="1" applyFont="1" applyFill="1" applyBorder="1" applyAlignment="1">
      <alignment horizontal="center" wrapText="1"/>
    </xf>
    <xf numFmtId="168" fontId="2" fillId="0" borderId="0" xfId="1" applyNumberFormat="1" applyFont="1"/>
    <xf numFmtId="168" fontId="2" fillId="0" borderId="0" xfId="0" applyNumberFormat="1" applyFont="1"/>
    <xf numFmtId="168" fontId="8" fillId="6" borderId="12" xfId="1" applyNumberFormat="1" applyFont="1" applyFill="1" applyBorder="1" applyAlignment="1">
      <alignment horizontal="center" vertical="center" wrapText="1"/>
    </xf>
    <xf numFmtId="168" fontId="8" fillId="4" borderId="12" xfId="1" applyNumberFormat="1" applyFont="1" applyFill="1" applyBorder="1" applyAlignment="1">
      <alignment horizontal="center" wrapText="1"/>
    </xf>
    <xf numFmtId="168" fontId="8" fillId="7" borderId="12" xfId="1" applyNumberFormat="1" applyFont="1" applyFill="1" applyBorder="1" applyAlignment="1">
      <alignment horizontal="center" wrapText="1"/>
    </xf>
    <xf numFmtId="168" fontId="8" fillId="6" borderId="12" xfId="1" applyNumberFormat="1" applyFont="1" applyFill="1" applyBorder="1" applyAlignment="1">
      <alignment horizontal="center" wrapText="1"/>
    </xf>
    <xf numFmtId="168" fontId="2" fillId="8" borderId="2" xfId="1" applyNumberFormat="1" applyFont="1" applyFill="1" applyBorder="1"/>
    <xf numFmtId="168" fontId="8" fillId="8" borderId="12" xfId="1" applyNumberFormat="1" applyFont="1" applyFill="1" applyBorder="1" applyAlignment="1">
      <alignment horizontal="center" wrapText="1"/>
    </xf>
    <xf numFmtId="168" fontId="8" fillId="2" borderId="2" xfId="1" applyNumberFormat="1" applyFont="1" applyFill="1" applyBorder="1" applyAlignment="1">
      <alignment vertical="center"/>
    </xf>
    <xf numFmtId="168" fontId="2" fillId="0" borderId="0" xfId="1" applyNumberFormat="1" applyFont="1" applyAlignment="1">
      <alignment horizontal="center" vertical="center"/>
    </xf>
    <xf numFmtId="168" fontId="8" fillId="8" borderId="16" xfId="1" applyNumberFormat="1" applyFont="1" applyFill="1" applyBorder="1" applyAlignment="1">
      <alignment horizontal="center" wrapText="1"/>
    </xf>
    <xf numFmtId="168" fontId="2" fillId="0" borderId="0" xfId="0" applyNumberFormat="1" applyFont="1" applyAlignment="1">
      <alignment horizontal="center" vertical="center"/>
    </xf>
    <xf numFmtId="164" fontId="3" fillId="11" borderId="9" xfId="1" applyNumberFormat="1" applyFont="1" applyFill="1" applyBorder="1" applyAlignment="1">
      <alignment horizontal="center" vertical="center"/>
    </xf>
    <xf numFmtId="167" fontId="15" fillId="0" borderId="0" xfId="1" applyNumberFormat="1" applyFont="1" applyAlignment="1">
      <alignment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168" fontId="6" fillId="0" borderId="0" xfId="1" applyNumberFormat="1" applyFont="1" applyAlignment="1">
      <alignment vertical="center"/>
    </xf>
    <xf numFmtId="168" fontId="9" fillId="0" borderId="0" xfId="1" applyNumberFormat="1" applyFont="1"/>
    <xf numFmtId="168" fontId="9" fillId="12" borderId="10" xfId="1" applyNumberFormat="1" applyFont="1" applyFill="1" applyBorder="1" applyAlignment="1">
      <alignment horizontal="right" vertical="center"/>
    </xf>
    <xf numFmtId="168" fontId="9" fillId="8" borderId="2" xfId="1" applyNumberFormat="1" applyFont="1" applyFill="1" applyBorder="1"/>
    <xf numFmtId="168" fontId="8" fillId="8" borderId="7" xfId="1" applyNumberFormat="1" applyFont="1" applyFill="1" applyBorder="1" applyAlignment="1">
      <alignment horizontal="center" wrapText="1"/>
    </xf>
    <xf numFmtId="168" fontId="9" fillId="0" borderId="0" xfId="1" applyNumberFormat="1" applyFont="1" applyAlignment="1">
      <alignment horizontal="right" vertical="center"/>
    </xf>
    <xf numFmtId="168" fontId="3" fillId="0" borderId="0" xfId="1" applyNumberFormat="1" applyFont="1"/>
    <xf numFmtId="168" fontId="3" fillId="2" borderId="2" xfId="1" applyNumberFormat="1" applyFont="1" applyFill="1" applyBorder="1"/>
    <xf numFmtId="164" fontId="11" fillId="5" borderId="9" xfId="1" applyNumberFormat="1" applyFont="1" applyFill="1" applyBorder="1" applyAlignment="1">
      <alignment horizontal="center" vertical="center" wrapText="1"/>
    </xf>
    <xf numFmtId="164" fontId="16" fillId="5" borderId="9" xfId="1" applyNumberFormat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 vertical="center"/>
    </xf>
    <xf numFmtId="0" fontId="3" fillId="14" borderId="9" xfId="0" applyFont="1" applyFill="1" applyBorder="1" applyAlignment="1">
      <alignment horizontal="left" vertical="center" wrapText="1"/>
    </xf>
    <xf numFmtId="0" fontId="9" fillId="14" borderId="9" xfId="0" applyFont="1" applyFill="1" applyBorder="1" applyAlignment="1">
      <alignment horizontal="center" vertical="center" wrapText="1"/>
    </xf>
    <xf numFmtId="2" fontId="4" fillId="11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164" fontId="3" fillId="11" borderId="9" xfId="1" applyNumberFormat="1" applyFont="1" applyFill="1" applyBorder="1" applyAlignment="1">
      <alignment horizontal="center" vertical="center" wrapText="1"/>
    </xf>
    <xf numFmtId="164" fontId="9" fillId="11" borderId="9" xfId="1" applyNumberFormat="1" applyFont="1" applyFill="1" applyBorder="1" applyAlignment="1">
      <alignment horizontal="center" vertical="center" wrapText="1"/>
    </xf>
    <xf numFmtId="164" fontId="12" fillId="11" borderId="9" xfId="1" applyNumberFormat="1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8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8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right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er" id="{EB56B9C0-75AC-4B6B-AED4-5BFB65A64344}" userId="User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F6026-387A-4C80-8ACE-6D2D00E33100}" name="Table3" displayName="Table3" ref="A4:O262" totalsRowShown="0" tableBorderDxfId="15">
  <autoFilter ref="A4:O262" xr:uid="{809F6026-387A-4C80-8ACE-6D2D00E33100}"/>
  <tableColumns count="15">
    <tableColumn id="1" xr3:uid="{1970F23A-F59B-4880-AA24-CEB42AE051B9}" name="NO." dataDxfId="14"/>
    <tableColumn id="2" xr3:uid="{6FBCC368-65DC-4413-A7FB-8D8E9EB8B6B9}" name="Item " dataDxfId="13"/>
    <tableColumn id="3" xr3:uid="{54CA310C-89B2-4D15-8B52-B64BA77BFECD}" name="Weight" dataDxfId="12"/>
    <tableColumn id="4" xr3:uid="{CFE4109D-3AEB-49EC-A2BD-C46EEF09DC58}" name="Printed Pouch" dataDxfId="11"/>
    <tableColumn id="16" xr3:uid="{AFD419BA-64E4-4F26-A98E-6F79D7338823}" name="Unprinted Pouch" dataDxfId="0"/>
    <tableColumn id="5" xr3:uid="{3CEAA294-4CE3-432D-9E0F-E90C316BEC27}" name="Standup pouch" dataDxfId="10"/>
    <tableColumn id="7" xr3:uid="{CE2C0C7D-E041-476A-A711-D0712F4BB244}" name="Bottle /Canisters" dataDxfId="9"/>
    <tableColumn id="8" xr3:uid="{1365E7B3-DAE9-4F00-BA3A-0AB1C88B259E}" name="Box" dataDxfId="8"/>
    <tableColumn id="9" xr3:uid="{9791F48D-4F32-45BB-8C96-3A201B283F40}" name="Cup" dataDxfId="7"/>
    <tableColumn id="10" xr3:uid="{CFE5C279-7418-46B4-98B3-0E392EFD0B6C}" name="Per Box CBM" dataDxfId="6"/>
    <tableColumn id="11" xr3:uid="{3D8565D6-6CB1-45ED-8381-6C36D5818B77}" name="BOX Quantity" dataDxfId="5"/>
    <tableColumn id="12" xr3:uid="{F584A5F2-7AD2-4E99-9280-7503F4625BB5}" name="Order Quantity (Pkts)" dataDxfId="4">
      <calculatedColumnFormula>K5*H5</calculatedColumnFormula>
    </tableColumn>
    <tableColumn id="13" xr3:uid="{520F24EF-2060-437A-BADD-DD1478DD4828}" name="CBM" dataDxfId="3">
      <calculatedColumnFormula>K5*J5</calculatedColumnFormula>
    </tableColumn>
    <tableColumn id="14" xr3:uid="{68E06CB1-EDD9-473A-A329-65F8ED63AA10}" name="Column1" dataDxfId="2" dataCellStyle="Comma"/>
    <tableColumn id="15" xr3:uid="{F961AD89-D6C3-4129-8379-A590B850FF90}" name="Kg" dataDxfId="1">
      <calculatedColumnFormula>Table3[[#This Row],[Order Quantity (Pkts)]]*Table3[[#This Row],[Column1]]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4" dT="2026-06-05T07:36:48.50" personId="{EB56B9C0-75AC-4B6B-AED4-5BFB65A64344}" id="{463B8F0E-DE14-4B4E-9CE8-86BD567381F4}">
    <text>Bundle 24 (Australia )</text>
  </threadedComment>
  <threadedComment ref="D125" dT="2026-06-05T07:37:12.26" personId="{EB56B9C0-75AC-4B6B-AED4-5BFB65A64344}" id="{FC6A58C1-950D-4322-B006-239A173344C9}">
    <text xml:space="preserve">Bundle 24 (Australia )
</text>
  </threadedComment>
  <threadedComment ref="D126" dT="2026-06-05T07:37:24.39" personId="{EB56B9C0-75AC-4B6B-AED4-5BFB65A64344}" id="{B4396A1F-038A-40EC-BAC9-C44594294A16}">
    <text>Bundle 24 (Australia )</text>
  </threadedComment>
  <threadedComment ref="D127" dT="2026-06-05T07:37:35.66" personId="{EB56B9C0-75AC-4B6B-AED4-5BFB65A64344}" id="{4845D1A1-757E-40AF-8D39-70E117EC3A6B}">
    <text>Bundle 24 (Australia )</text>
  </threadedComment>
  <threadedComment ref="D129" dT="2026-06-05T07:37:49.80" personId="{EB56B9C0-75AC-4B6B-AED4-5BFB65A64344}" id="{508A3296-A3D3-40E7-9E27-EEE1885D8CF4}">
    <text>Bundle 24 (Australia )</text>
  </threadedComment>
  <threadedComment ref="D130" dT="2026-06-05T07:38:27.12" personId="{EB56B9C0-75AC-4B6B-AED4-5BFB65A64344}" id="{3F82B8E5-084A-422A-9E61-3E78FFAE8397}">
    <text>Bundle 24 (Australia )</text>
  </threadedComment>
  <threadedComment ref="D136" dT="2026-06-05T07:41:27.23" personId="{EB56B9C0-75AC-4B6B-AED4-5BFB65A64344}" id="{6A5CB5ED-506F-4985-BD72-1DF749313C9E}">
    <text>Bundle 24 (Australia )</text>
  </threadedComment>
  <threadedComment ref="I167" dT="2025-07-17T04:18:28.52" personId="{EB56B9C0-75AC-4B6B-AED4-5BFB65A64344}" id="{8AEAE7FA-7D98-40DF-99C0-6326B7CE083D}">
    <text>4 Rasam Box +Cup 32 = 80           14*14*9 Box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DCC7-D5BA-4EC0-9666-525553FB41EF}">
  <dimension ref="A1:V264"/>
  <sheetViews>
    <sheetView tabSelected="1" zoomScale="115" zoomScaleNormal="11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E92" sqref="E92"/>
    </sheetView>
  </sheetViews>
  <sheetFormatPr defaultColWidth="9.109375" defaultRowHeight="13.8" x14ac:dyDescent="0.25"/>
  <cols>
    <col min="1" max="1" width="5.33203125" style="1" customWidth="1"/>
    <col min="2" max="2" width="35.33203125" style="2" customWidth="1"/>
    <col min="3" max="3" width="8.44140625" style="3" customWidth="1"/>
    <col min="4" max="4" width="8.44140625" style="4" customWidth="1"/>
    <col min="5" max="7" width="8.44140625" style="5" customWidth="1"/>
    <col min="8" max="8" width="11.21875" style="3" customWidth="1"/>
    <col min="9" max="9" width="8.44140625" style="3" customWidth="1"/>
    <col min="10" max="10" width="13" style="3" customWidth="1"/>
    <col min="11" max="11" width="13" style="5" customWidth="1"/>
    <col min="12" max="12" width="16.21875" style="3" customWidth="1"/>
    <col min="13" max="13" width="13" style="3" customWidth="1"/>
    <col min="14" max="14" width="9.5546875" style="145" hidden="1" customWidth="1"/>
    <col min="15" max="15" width="9.44140625" style="143" customWidth="1"/>
    <col min="16" max="16384" width="9.109375" style="3"/>
  </cols>
  <sheetData>
    <row r="1" spans="1:15" ht="4.2" customHeight="1" x14ac:dyDescent="0.25"/>
    <row r="2" spans="1:15" ht="17.399999999999999" x14ac:dyDescent="0.3">
      <c r="B2" s="178" t="s">
        <v>0</v>
      </c>
      <c r="C2" s="178"/>
      <c r="D2" s="178"/>
      <c r="E2" s="178"/>
      <c r="F2" s="178"/>
      <c r="G2" s="178"/>
      <c r="H2" s="178"/>
      <c r="I2" s="178"/>
      <c r="J2" s="178"/>
      <c r="K2" s="178"/>
      <c r="L2" s="133" t="s">
        <v>178</v>
      </c>
    </row>
    <row r="3" spans="1:15" ht="3.6" customHeight="1" x14ac:dyDescent="0.25"/>
    <row r="4" spans="1:15" s="14" customFormat="1" ht="63" customHeight="1" x14ac:dyDescent="0.3">
      <c r="A4" s="6" t="s">
        <v>1</v>
      </c>
      <c r="B4" s="7" t="s">
        <v>2</v>
      </c>
      <c r="C4" s="7" t="s">
        <v>3</v>
      </c>
      <c r="D4" s="8" t="s">
        <v>4</v>
      </c>
      <c r="E4" s="9" t="s">
        <v>6</v>
      </c>
      <c r="F4" s="9" t="s">
        <v>5</v>
      </c>
      <c r="G4" s="9" t="s">
        <v>7</v>
      </c>
      <c r="H4" s="10" t="s">
        <v>8</v>
      </c>
      <c r="I4" s="10" t="s">
        <v>9</v>
      </c>
      <c r="J4" s="10" t="s">
        <v>10</v>
      </c>
      <c r="K4" s="11" t="s">
        <v>11</v>
      </c>
      <c r="L4" s="12" t="s">
        <v>12</v>
      </c>
      <c r="M4" s="13" t="s">
        <v>13</v>
      </c>
      <c r="N4" s="161" t="s">
        <v>167</v>
      </c>
      <c r="O4" s="158" t="s">
        <v>168</v>
      </c>
    </row>
    <row r="5" spans="1:15" ht="14.25" customHeight="1" x14ac:dyDescent="0.25">
      <c r="A5" s="15"/>
      <c r="B5" s="16" t="s">
        <v>14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8"/>
      <c r="N5" s="144"/>
      <c r="O5" s="144"/>
    </row>
    <row r="6" spans="1:15" s="26" customFormat="1" ht="14.25" customHeight="1" x14ac:dyDescent="0.25">
      <c r="A6" s="19">
        <v>1</v>
      </c>
      <c r="B6" s="20" t="s">
        <v>26</v>
      </c>
      <c r="C6" s="32" t="s">
        <v>27</v>
      </c>
      <c r="D6" s="33">
        <v>240</v>
      </c>
      <c r="E6" s="21" t="s">
        <v>17</v>
      </c>
      <c r="F6" s="21" t="s">
        <v>17</v>
      </c>
      <c r="G6" s="21" t="s">
        <v>17</v>
      </c>
      <c r="H6" s="21" t="s">
        <v>17</v>
      </c>
      <c r="I6" s="21" t="s">
        <v>17</v>
      </c>
      <c r="J6" s="27">
        <v>3.1E-2</v>
      </c>
      <c r="K6" s="23"/>
      <c r="L6" s="24">
        <f>Table3[[#This Row],[Printed Pouch]]*Table3[[#This Row],[BOX Quantity]]</f>
        <v>0</v>
      </c>
      <c r="M6" s="25">
        <f>K6*J6</f>
        <v>0</v>
      </c>
      <c r="N6" s="162">
        <v>2.5000000000000001E-2</v>
      </c>
      <c r="O6" s="146">
        <f>Table3[[#This Row],[Order Quantity (Pkts)]]*Table3[[#This Row],[Column1]]</f>
        <v>0</v>
      </c>
    </row>
    <row r="7" spans="1:15" s="26" customFormat="1" ht="14.25" customHeight="1" x14ac:dyDescent="0.25">
      <c r="A7" s="19">
        <v>2</v>
      </c>
      <c r="B7" s="20" t="s">
        <v>26</v>
      </c>
      <c r="C7" s="32" t="s">
        <v>21</v>
      </c>
      <c r="D7" s="33">
        <v>150</v>
      </c>
      <c r="E7" s="21" t="s">
        <v>17</v>
      </c>
      <c r="F7" s="21" t="s">
        <v>17</v>
      </c>
      <c r="G7" s="21" t="s">
        <v>17</v>
      </c>
      <c r="H7" s="21" t="s">
        <v>17</v>
      </c>
      <c r="I7" s="21" t="s">
        <v>17</v>
      </c>
      <c r="J7" s="27">
        <v>3.1E-2</v>
      </c>
      <c r="K7" s="23"/>
      <c r="L7" s="24">
        <f>K7*D7</f>
        <v>0</v>
      </c>
      <c r="M7" s="25">
        <f t="shared" ref="M7:M11" si="0">K7*J7</f>
        <v>0</v>
      </c>
      <c r="N7" s="162">
        <v>0.05</v>
      </c>
      <c r="O7" s="146">
        <f>Table3[[#This Row],[Order Quantity (Pkts)]]*Table3[[#This Row],[Column1]]</f>
        <v>0</v>
      </c>
    </row>
    <row r="8" spans="1:15" s="26" customFormat="1" ht="14.25" customHeight="1" x14ac:dyDescent="0.25">
      <c r="A8" s="19">
        <v>3</v>
      </c>
      <c r="B8" s="20" t="s">
        <v>26</v>
      </c>
      <c r="C8" s="32" t="s">
        <v>16</v>
      </c>
      <c r="D8" s="182">
        <v>100</v>
      </c>
      <c r="E8" s="21" t="s">
        <v>17</v>
      </c>
      <c r="F8" s="21" t="s">
        <v>17</v>
      </c>
      <c r="G8" s="21" t="s">
        <v>17</v>
      </c>
      <c r="H8" s="21" t="s">
        <v>17</v>
      </c>
      <c r="I8" s="21" t="s">
        <v>17</v>
      </c>
      <c r="J8" s="27">
        <v>3.1E-2</v>
      </c>
      <c r="K8" s="23"/>
      <c r="L8" s="24">
        <f>K8*D8</f>
        <v>0</v>
      </c>
      <c r="M8" s="25">
        <f t="shared" si="0"/>
        <v>0</v>
      </c>
      <c r="N8" s="162">
        <v>0.1</v>
      </c>
      <c r="O8" s="146">
        <f>Table3[[#This Row],[Order Quantity (Pkts)]]*Table3[[#This Row],[Column1]]</f>
        <v>0</v>
      </c>
    </row>
    <row r="9" spans="1:15" s="26" customFormat="1" ht="14.25" customHeight="1" x14ac:dyDescent="0.25">
      <c r="A9" s="19">
        <v>4</v>
      </c>
      <c r="B9" s="20" t="s">
        <v>26</v>
      </c>
      <c r="C9" s="32" t="s">
        <v>18</v>
      </c>
      <c r="D9" s="33">
        <v>50</v>
      </c>
      <c r="E9" s="21" t="s">
        <v>17</v>
      </c>
      <c r="F9" s="21" t="s">
        <v>17</v>
      </c>
      <c r="G9" s="21" t="s">
        <v>17</v>
      </c>
      <c r="H9" s="21" t="s">
        <v>17</v>
      </c>
      <c r="I9" s="21" t="s">
        <v>17</v>
      </c>
      <c r="J9" s="27">
        <v>3.1E-2</v>
      </c>
      <c r="K9" s="23"/>
      <c r="L9" s="24">
        <f>K9*D9</f>
        <v>0</v>
      </c>
      <c r="M9" s="25">
        <f t="shared" si="0"/>
        <v>0</v>
      </c>
      <c r="N9" s="162">
        <v>0.25</v>
      </c>
      <c r="O9" s="145">
        <f>Table3[[#This Row],[Order Quantity (Pkts)]]*Table3[[#This Row],[Column1]]</f>
        <v>0</v>
      </c>
    </row>
    <row r="10" spans="1:15" s="26" customFormat="1" ht="14.25" customHeight="1" x14ac:dyDescent="0.25">
      <c r="A10" s="19">
        <v>5</v>
      </c>
      <c r="B10" s="20" t="s">
        <v>26</v>
      </c>
      <c r="C10" s="32" t="s">
        <v>22</v>
      </c>
      <c r="D10" s="21" t="s">
        <v>17</v>
      </c>
      <c r="E10" s="37">
        <v>24</v>
      </c>
      <c r="F10" s="21" t="s">
        <v>17</v>
      </c>
      <c r="G10" s="21" t="s">
        <v>17</v>
      </c>
      <c r="H10" s="21" t="s">
        <v>17</v>
      </c>
      <c r="I10" s="21" t="s">
        <v>17</v>
      </c>
      <c r="J10" s="27">
        <v>3.1E-2</v>
      </c>
      <c r="K10" s="23"/>
      <c r="L10" s="24">
        <f>K10*Table3[[#This Row],[Unprinted Pouch]]</f>
        <v>0</v>
      </c>
      <c r="M10" s="25">
        <f t="shared" si="0"/>
        <v>0</v>
      </c>
      <c r="N10" s="162">
        <v>0.5</v>
      </c>
      <c r="O10" s="146">
        <f>Table3[[#This Row],[Order Quantity (Pkts)]]*Table3[[#This Row],[Column1]]</f>
        <v>0</v>
      </c>
    </row>
    <row r="11" spans="1:15" s="26" customFormat="1" ht="14.25" customHeight="1" x14ac:dyDescent="0.25">
      <c r="A11" s="19">
        <v>6</v>
      </c>
      <c r="B11" s="20" t="s">
        <v>26</v>
      </c>
      <c r="C11" s="32" t="s">
        <v>28</v>
      </c>
      <c r="D11" s="33">
        <v>12</v>
      </c>
      <c r="E11" s="21" t="s">
        <v>17</v>
      </c>
      <c r="F11" s="21" t="s">
        <v>17</v>
      </c>
      <c r="G11" s="21" t="s">
        <v>17</v>
      </c>
      <c r="H11" s="21" t="s">
        <v>17</v>
      </c>
      <c r="I11" s="21" t="s">
        <v>17</v>
      </c>
      <c r="J11" s="27">
        <v>3.1E-2</v>
      </c>
      <c r="K11" s="23"/>
      <c r="L11" s="24">
        <f>K11*D11</f>
        <v>0</v>
      </c>
      <c r="M11" s="25">
        <f t="shared" si="0"/>
        <v>0</v>
      </c>
      <c r="N11" s="162">
        <v>1</v>
      </c>
      <c r="O11" s="146">
        <f>Table3[[#This Row],[Order Quantity (Pkts)]]*Table3[[#This Row],[Column1]]</f>
        <v>0</v>
      </c>
    </row>
    <row r="12" spans="1:15" s="26" customFormat="1" ht="14.25" customHeight="1" x14ac:dyDescent="0.25">
      <c r="A12" s="19">
        <v>7</v>
      </c>
      <c r="B12" s="20" t="s">
        <v>20</v>
      </c>
      <c r="C12" s="28" t="s">
        <v>21</v>
      </c>
      <c r="D12" s="29">
        <v>150</v>
      </c>
      <c r="E12" s="21" t="s">
        <v>17</v>
      </c>
      <c r="F12" s="21" t="s">
        <v>17</v>
      </c>
      <c r="G12" s="21" t="s">
        <v>17</v>
      </c>
      <c r="H12" s="21" t="s">
        <v>17</v>
      </c>
      <c r="I12" s="21" t="s">
        <v>17</v>
      </c>
      <c r="J12" s="27">
        <v>3.1E-2</v>
      </c>
      <c r="K12" s="23"/>
      <c r="L12" s="24">
        <f>K12*D12</f>
        <v>0</v>
      </c>
      <c r="M12" s="25">
        <f t="shared" ref="M12:M46" si="1">K12*J12</f>
        <v>0</v>
      </c>
      <c r="N12" s="162">
        <v>0.05</v>
      </c>
      <c r="O12" s="146">
        <f>Table3[[#This Row],[Order Quantity (Pkts)]]*Table3[[#This Row],[Column1]]</f>
        <v>0</v>
      </c>
    </row>
    <row r="13" spans="1:15" s="26" customFormat="1" ht="14.25" customHeight="1" x14ac:dyDescent="0.25">
      <c r="A13" s="19">
        <v>8</v>
      </c>
      <c r="B13" s="20" t="s">
        <v>20</v>
      </c>
      <c r="C13" s="28" t="s">
        <v>16</v>
      </c>
      <c r="D13" s="183">
        <v>100</v>
      </c>
      <c r="E13" s="21" t="s">
        <v>17</v>
      </c>
      <c r="F13" s="21" t="s">
        <v>17</v>
      </c>
      <c r="G13" s="21" t="s">
        <v>17</v>
      </c>
      <c r="H13" s="21" t="s">
        <v>17</v>
      </c>
      <c r="I13" s="21" t="s">
        <v>17</v>
      </c>
      <c r="J13" s="27">
        <v>3.1E-2</v>
      </c>
      <c r="K13" s="23"/>
      <c r="L13" s="24">
        <f>K13*D13</f>
        <v>0</v>
      </c>
      <c r="M13" s="25">
        <f t="shared" si="1"/>
        <v>0</v>
      </c>
      <c r="N13" s="162">
        <v>0.1</v>
      </c>
      <c r="O13" s="146">
        <f>Table3[[#This Row],[Order Quantity (Pkts)]]*Table3[[#This Row],[Column1]]</f>
        <v>0</v>
      </c>
    </row>
    <row r="14" spans="1:15" s="26" customFormat="1" ht="14.25" customHeight="1" x14ac:dyDescent="0.25">
      <c r="A14" s="19">
        <v>9</v>
      </c>
      <c r="B14" s="20" t="s">
        <v>20</v>
      </c>
      <c r="C14" s="28" t="s">
        <v>18</v>
      </c>
      <c r="D14" s="29">
        <v>42</v>
      </c>
      <c r="E14" s="21" t="s">
        <v>17</v>
      </c>
      <c r="F14" s="21" t="s">
        <v>17</v>
      </c>
      <c r="G14" s="21" t="s">
        <v>17</v>
      </c>
      <c r="H14" s="21" t="s">
        <v>17</v>
      </c>
      <c r="I14" s="21" t="s">
        <v>17</v>
      </c>
      <c r="J14" s="27">
        <v>3.1E-2</v>
      </c>
      <c r="K14" s="23"/>
      <c r="L14" s="24">
        <f>K14*D14</f>
        <v>0</v>
      </c>
      <c r="M14" s="25">
        <f t="shared" si="1"/>
        <v>0</v>
      </c>
      <c r="N14" s="162">
        <v>0.25</v>
      </c>
      <c r="O14" s="146">
        <f>Table3[[#This Row],[Order Quantity (Pkts)]]*Table3[[#This Row],[Column1]]</f>
        <v>0</v>
      </c>
    </row>
    <row r="15" spans="1:15" s="26" customFormat="1" ht="14.25" customHeight="1" x14ac:dyDescent="0.25">
      <c r="A15" s="19">
        <v>10</v>
      </c>
      <c r="B15" s="20" t="s">
        <v>20</v>
      </c>
      <c r="C15" s="28" t="s">
        <v>18</v>
      </c>
      <c r="D15" s="21" t="s">
        <v>17</v>
      </c>
      <c r="E15" s="169">
        <v>42</v>
      </c>
      <c r="F15" s="21" t="s">
        <v>17</v>
      </c>
      <c r="G15" s="21" t="s">
        <v>17</v>
      </c>
      <c r="H15" s="21" t="s">
        <v>17</v>
      </c>
      <c r="I15" s="21" t="s">
        <v>17</v>
      </c>
      <c r="J15" s="27">
        <v>3.1E-2</v>
      </c>
      <c r="K15" s="23"/>
      <c r="L15" s="24">
        <f>K15*Table3[[#This Row],[Unprinted Pouch]]</f>
        <v>0</v>
      </c>
      <c r="M15" s="25">
        <f t="shared" si="1"/>
        <v>0</v>
      </c>
      <c r="N15" s="162">
        <v>0.25</v>
      </c>
      <c r="O15" s="146">
        <f>Table3[[#This Row],[Order Quantity (Pkts)]]*Table3[[#This Row],[Column1]]</f>
        <v>0</v>
      </c>
    </row>
    <row r="16" spans="1:15" s="26" customFormat="1" ht="14.25" customHeight="1" x14ac:dyDescent="0.25">
      <c r="A16" s="19">
        <v>11</v>
      </c>
      <c r="B16" s="20" t="s">
        <v>20</v>
      </c>
      <c r="C16" s="28" t="s">
        <v>22</v>
      </c>
      <c r="D16" s="30">
        <v>24</v>
      </c>
      <c r="E16" s="31" t="s">
        <v>17</v>
      </c>
      <c r="F16" s="31" t="s">
        <v>17</v>
      </c>
      <c r="G16" s="31" t="s">
        <v>17</v>
      </c>
      <c r="H16" s="31" t="s">
        <v>17</v>
      </c>
      <c r="I16" s="31" t="s">
        <v>17</v>
      </c>
      <c r="J16" s="27">
        <v>3.1E-2</v>
      </c>
      <c r="K16" s="23"/>
      <c r="L16" s="24">
        <f>K16*D16</f>
        <v>0</v>
      </c>
      <c r="M16" s="25">
        <f t="shared" si="1"/>
        <v>0</v>
      </c>
      <c r="N16" s="162">
        <v>0.5</v>
      </c>
      <c r="O16" s="146">
        <f>Table3[[#This Row],[Order Quantity (Pkts)]]*Table3[[#This Row],[Column1]]</f>
        <v>0</v>
      </c>
    </row>
    <row r="17" spans="1:15" s="26" customFormat="1" ht="14.25" customHeight="1" x14ac:dyDescent="0.25">
      <c r="A17" s="19">
        <v>12</v>
      </c>
      <c r="B17" s="20" t="s">
        <v>20</v>
      </c>
      <c r="C17" s="28" t="s">
        <v>22</v>
      </c>
      <c r="D17" s="31" t="s">
        <v>17</v>
      </c>
      <c r="E17" s="170">
        <v>24</v>
      </c>
      <c r="F17" s="31" t="s">
        <v>17</v>
      </c>
      <c r="G17" s="31" t="s">
        <v>17</v>
      </c>
      <c r="H17" s="31" t="s">
        <v>17</v>
      </c>
      <c r="I17" s="31" t="s">
        <v>17</v>
      </c>
      <c r="J17" s="27">
        <v>3.1E-2</v>
      </c>
      <c r="K17" s="23"/>
      <c r="L17" s="24">
        <f>K17*Table3[[#This Row],[Unprinted Pouch]]</f>
        <v>0</v>
      </c>
      <c r="M17" s="25">
        <f t="shared" si="1"/>
        <v>0</v>
      </c>
      <c r="N17" s="162">
        <v>0.5</v>
      </c>
      <c r="O17" s="146">
        <f>Table3[[#This Row],[Order Quantity (Pkts)]]*Table3[[#This Row],[Column1]]</f>
        <v>0</v>
      </c>
    </row>
    <row r="18" spans="1:15" s="26" customFormat="1" ht="14.25" customHeight="1" x14ac:dyDescent="0.25">
      <c r="A18" s="19">
        <v>13</v>
      </c>
      <c r="B18" s="20" t="s">
        <v>20</v>
      </c>
      <c r="C18" s="28" t="s">
        <v>23</v>
      </c>
      <c r="D18" s="29">
        <v>12</v>
      </c>
      <c r="E18" s="21" t="s">
        <v>17</v>
      </c>
      <c r="F18" s="21" t="s">
        <v>17</v>
      </c>
      <c r="G18" s="21" t="s">
        <v>17</v>
      </c>
      <c r="H18" s="21" t="s">
        <v>17</v>
      </c>
      <c r="I18" s="21" t="s">
        <v>17</v>
      </c>
      <c r="J18" s="27">
        <v>3.1E-2</v>
      </c>
      <c r="K18" s="23"/>
      <c r="L18" s="24">
        <f>K18*D18</f>
        <v>0</v>
      </c>
      <c r="M18" s="25">
        <f t="shared" si="1"/>
        <v>0</v>
      </c>
      <c r="N18" s="162">
        <v>1</v>
      </c>
      <c r="O18" s="146">
        <f>Table3[[#This Row],[Order Quantity (Pkts)]]*Table3[[#This Row],[Column1]]</f>
        <v>0</v>
      </c>
    </row>
    <row r="19" spans="1:15" s="26" customFormat="1" ht="14.25" customHeight="1" x14ac:dyDescent="0.25">
      <c r="A19" s="19">
        <v>14</v>
      </c>
      <c r="B19" s="20" t="s">
        <v>24</v>
      </c>
      <c r="C19" s="32" t="s">
        <v>21</v>
      </c>
      <c r="D19" s="33">
        <v>132</v>
      </c>
      <c r="E19" s="21" t="s">
        <v>17</v>
      </c>
      <c r="F19" s="21" t="s">
        <v>17</v>
      </c>
      <c r="G19" s="21" t="s">
        <v>17</v>
      </c>
      <c r="H19" s="21" t="s">
        <v>17</v>
      </c>
      <c r="I19" s="21" t="s">
        <v>17</v>
      </c>
      <c r="J19" s="27">
        <v>3.1E-2</v>
      </c>
      <c r="K19" s="23"/>
      <c r="L19" s="24">
        <f>K19*D19</f>
        <v>0</v>
      </c>
      <c r="M19" s="25">
        <f t="shared" si="1"/>
        <v>0</v>
      </c>
      <c r="N19" s="162">
        <v>0.05</v>
      </c>
      <c r="O19" s="146">
        <f>Table3[[#This Row],[Order Quantity (Pkts)]]*Table3[[#This Row],[Column1]]</f>
        <v>0</v>
      </c>
    </row>
    <row r="20" spans="1:15" s="26" customFormat="1" ht="14.25" customHeight="1" x14ac:dyDescent="0.25">
      <c r="A20" s="19">
        <v>15</v>
      </c>
      <c r="B20" s="20" t="s">
        <v>24</v>
      </c>
      <c r="C20" s="32" t="s">
        <v>16</v>
      </c>
      <c r="D20" s="33">
        <v>80</v>
      </c>
      <c r="E20" s="21" t="s">
        <v>17</v>
      </c>
      <c r="F20" s="21" t="s">
        <v>17</v>
      </c>
      <c r="G20" s="21" t="s">
        <v>17</v>
      </c>
      <c r="H20" s="21" t="s">
        <v>17</v>
      </c>
      <c r="I20" s="21" t="s">
        <v>17</v>
      </c>
      <c r="J20" s="27">
        <v>3.1E-2</v>
      </c>
      <c r="K20" s="23"/>
      <c r="L20" s="24">
        <f>K20*D20</f>
        <v>0</v>
      </c>
      <c r="M20" s="25">
        <f t="shared" si="1"/>
        <v>0</v>
      </c>
      <c r="N20" s="162">
        <v>0.1</v>
      </c>
      <c r="O20" s="146">
        <f>Table3[[#This Row],[Order Quantity (Pkts)]]*Table3[[#This Row],[Column1]]</f>
        <v>0</v>
      </c>
    </row>
    <row r="21" spans="1:15" s="26" customFormat="1" ht="14.25" customHeight="1" x14ac:dyDescent="0.25">
      <c r="A21" s="19">
        <v>16</v>
      </c>
      <c r="B21" s="20" t="s">
        <v>24</v>
      </c>
      <c r="C21" s="32" t="s">
        <v>18</v>
      </c>
      <c r="D21" s="33">
        <v>36</v>
      </c>
      <c r="E21" s="34"/>
      <c r="F21" s="21" t="s">
        <v>17</v>
      </c>
      <c r="G21" s="21" t="s">
        <v>17</v>
      </c>
      <c r="H21" s="21" t="s">
        <v>17</v>
      </c>
      <c r="I21" s="21" t="s">
        <v>17</v>
      </c>
      <c r="J21" s="27">
        <v>3.1E-2</v>
      </c>
      <c r="K21" s="23"/>
      <c r="L21" s="24">
        <f>K21*D21</f>
        <v>0</v>
      </c>
      <c r="M21" s="25">
        <f t="shared" si="1"/>
        <v>0</v>
      </c>
      <c r="N21" s="162">
        <v>0.25</v>
      </c>
      <c r="O21" s="146">
        <f>Table3[[#This Row],[Order Quantity (Pkts)]]*Table3[[#This Row],[Column1]]</f>
        <v>0</v>
      </c>
    </row>
    <row r="22" spans="1:15" s="26" customFormat="1" ht="14.25" customHeight="1" x14ac:dyDescent="0.25">
      <c r="A22" s="19">
        <v>17</v>
      </c>
      <c r="B22" s="20" t="s">
        <v>24</v>
      </c>
      <c r="C22" s="32" t="s">
        <v>18</v>
      </c>
      <c r="D22" s="21" t="s">
        <v>17</v>
      </c>
      <c r="E22" s="38">
        <v>36</v>
      </c>
      <c r="F22" s="21" t="s">
        <v>17</v>
      </c>
      <c r="G22" s="21" t="s">
        <v>17</v>
      </c>
      <c r="H22" s="21" t="s">
        <v>17</v>
      </c>
      <c r="I22" s="21" t="s">
        <v>17</v>
      </c>
      <c r="J22" s="27">
        <v>3.1E-2</v>
      </c>
      <c r="K22" s="23"/>
      <c r="L22" s="24">
        <f>K22*Table3[[#This Row],[Unprinted Pouch]]</f>
        <v>0</v>
      </c>
      <c r="M22" s="25">
        <f t="shared" si="1"/>
        <v>0</v>
      </c>
      <c r="N22" s="162">
        <v>0.25</v>
      </c>
      <c r="O22" s="146">
        <f>Table3[[#This Row],[Order Quantity (Pkts)]]*Table3[[#This Row],[Column1]]</f>
        <v>0</v>
      </c>
    </row>
    <row r="23" spans="1:15" s="26" customFormat="1" ht="14.25" customHeight="1" x14ac:dyDescent="0.25">
      <c r="A23" s="19">
        <v>18</v>
      </c>
      <c r="B23" s="20" t="s">
        <v>24</v>
      </c>
      <c r="C23" s="32" t="s">
        <v>22</v>
      </c>
      <c r="D23" s="33">
        <v>20</v>
      </c>
      <c r="E23" s="21" t="s">
        <v>17</v>
      </c>
      <c r="F23" s="21" t="s">
        <v>17</v>
      </c>
      <c r="G23" s="21" t="s">
        <v>17</v>
      </c>
      <c r="H23" s="21" t="s">
        <v>17</v>
      </c>
      <c r="I23" s="21" t="s">
        <v>17</v>
      </c>
      <c r="J23" s="27">
        <v>3.1E-2</v>
      </c>
      <c r="K23" s="23"/>
      <c r="L23" s="24">
        <f>K23*D23</f>
        <v>0</v>
      </c>
      <c r="M23" s="25">
        <f t="shared" si="1"/>
        <v>0</v>
      </c>
      <c r="N23" s="162">
        <v>0.5</v>
      </c>
      <c r="O23" s="146">
        <f>Table3[[#This Row],[Order Quantity (Pkts)]]*Table3[[#This Row],[Column1]]</f>
        <v>0</v>
      </c>
    </row>
    <row r="24" spans="1:15" s="26" customFormat="1" ht="14.25" customHeight="1" x14ac:dyDescent="0.25">
      <c r="A24" s="19">
        <v>19</v>
      </c>
      <c r="B24" s="20" t="s">
        <v>24</v>
      </c>
      <c r="C24" s="32" t="s">
        <v>22</v>
      </c>
      <c r="D24" s="35"/>
      <c r="E24" s="184">
        <v>20</v>
      </c>
      <c r="F24" s="21" t="s">
        <v>17</v>
      </c>
      <c r="G24" s="21" t="s">
        <v>17</v>
      </c>
      <c r="H24" s="21" t="s">
        <v>17</v>
      </c>
      <c r="I24" s="21" t="s">
        <v>17</v>
      </c>
      <c r="J24" s="27">
        <v>3.1E-2</v>
      </c>
      <c r="K24" s="23"/>
      <c r="L24" s="24">
        <f>K24*Table3[[#This Row],[Unprinted Pouch]]</f>
        <v>0</v>
      </c>
      <c r="M24" s="25">
        <f t="shared" si="1"/>
        <v>0</v>
      </c>
      <c r="N24" s="162">
        <v>0.5</v>
      </c>
      <c r="O24" s="146">
        <f>Table3[[#This Row],[Order Quantity (Pkts)]]*Table3[[#This Row],[Column1]]</f>
        <v>0</v>
      </c>
    </row>
    <row r="25" spans="1:15" s="26" customFormat="1" ht="14.25" customHeight="1" x14ac:dyDescent="0.25">
      <c r="A25" s="19">
        <v>20</v>
      </c>
      <c r="B25" s="20" t="s">
        <v>24</v>
      </c>
      <c r="C25" s="32" t="s">
        <v>23</v>
      </c>
      <c r="D25" s="33">
        <v>10</v>
      </c>
      <c r="E25" s="21" t="s">
        <v>17</v>
      </c>
      <c r="F25" s="21" t="s">
        <v>17</v>
      </c>
      <c r="G25" s="21" t="s">
        <v>17</v>
      </c>
      <c r="H25" s="21" t="s">
        <v>17</v>
      </c>
      <c r="I25" s="21" t="s">
        <v>17</v>
      </c>
      <c r="J25" s="27">
        <v>3.1E-2</v>
      </c>
      <c r="K25" s="23"/>
      <c r="L25" s="24">
        <f>K25*D25</f>
        <v>0</v>
      </c>
      <c r="M25" s="25">
        <f t="shared" si="1"/>
        <v>0</v>
      </c>
      <c r="N25" s="162">
        <v>1</v>
      </c>
      <c r="O25" s="146">
        <f>Table3[[#This Row],[Order Quantity (Pkts)]]*Table3[[#This Row],[Column1]]</f>
        <v>0</v>
      </c>
    </row>
    <row r="26" spans="1:15" s="26" customFormat="1" ht="14.25" customHeight="1" x14ac:dyDescent="0.25">
      <c r="A26" s="19">
        <v>21</v>
      </c>
      <c r="B26" s="20" t="s">
        <v>15</v>
      </c>
      <c r="C26" s="32" t="s">
        <v>16</v>
      </c>
      <c r="D26" s="21" t="s">
        <v>17</v>
      </c>
      <c r="E26" s="38">
        <v>30</v>
      </c>
      <c r="F26" s="21" t="s">
        <v>17</v>
      </c>
      <c r="G26" s="21" t="s">
        <v>17</v>
      </c>
      <c r="H26" s="21" t="s">
        <v>17</v>
      </c>
      <c r="I26" s="21" t="s">
        <v>17</v>
      </c>
      <c r="J26" s="22">
        <v>3.0599999999999999E-2</v>
      </c>
      <c r="K26" s="23"/>
      <c r="L26" s="24">
        <f>Table3[[#This Row],[BOX Quantity]]*Table3[[#This Row],[Unprinted Pouch]]</f>
        <v>0</v>
      </c>
      <c r="M26" s="114">
        <f>K26*J26</f>
        <v>0</v>
      </c>
      <c r="N26" s="162">
        <v>0.1</v>
      </c>
      <c r="O26" s="146">
        <f>Table3[[#This Row],[Order Quantity (Pkts)]]*Table3[[#This Row],[Column1]]</f>
        <v>0</v>
      </c>
    </row>
    <row r="27" spans="1:15" s="26" customFormat="1" ht="14.25" customHeight="1" x14ac:dyDescent="0.25">
      <c r="A27" s="19">
        <v>22</v>
      </c>
      <c r="B27" s="20" t="s">
        <v>15</v>
      </c>
      <c r="C27" s="32" t="s">
        <v>16</v>
      </c>
      <c r="D27" s="135" t="s">
        <v>17</v>
      </c>
      <c r="E27" s="34" t="s">
        <v>17</v>
      </c>
      <c r="F27" s="38">
        <v>22</v>
      </c>
      <c r="G27" s="34" t="s">
        <v>17</v>
      </c>
      <c r="H27" s="35" t="s">
        <v>17</v>
      </c>
      <c r="I27" s="34" t="s">
        <v>17</v>
      </c>
      <c r="J27" s="22">
        <v>3.0599999999999999E-2</v>
      </c>
      <c r="K27" s="23"/>
      <c r="L27" s="24">
        <f>Table3[[#This Row],[Standup pouch]]*Table3[[#This Row],[BOX Quantity]]</f>
        <v>0</v>
      </c>
      <c r="M27" s="114">
        <v>0</v>
      </c>
      <c r="N27" s="162">
        <v>0.1</v>
      </c>
      <c r="O27" s="146">
        <f>Table3[[#This Row],[Order Quantity (Pkts)]]*Table3[[#This Row],[Column1]]</f>
        <v>0</v>
      </c>
    </row>
    <row r="28" spans="1:15" s="26" customFormat="1" ht="14.25" customHeight="1" x14ac:dyDescent="0.25">
      <c r="A28" s="19">
        <v>23</v>
      </c>
      <c r="B28" s="20" t="s">
        <v>15</v>
      </c>
      <c r="C28" s="32" t="s">
        <v>18</v>
      </c>
      <c r="D28" s="135" t="s">
        <v>17</v>
      </c>
      <c r="E28" s="38">
        <v>10</v>
      </c>
      <c r="F28" s="34" t="s">
        <v>17</v>
      </c>
      <c r="G28" s="34" t="s">
        <v>17</v>
      </c>
      <c r="H28" s="35" t="s">
        <v>17</v>
      </c>
      <c r="I28" s="34" t="s">
        <v>17</v>
      </c>
      <c r="J28" s="27">
        <v>3.1E-2</v>
      </c>
      <c r="K28" s="23"/>
      <c r="L28" s="24">
        <f>Table3[[#This Row],[BOX Quantity]]*Table3[[#This Row],[Unprinted Pouch]]</f>
        <v>0</v>
      </c>
      <c r="M28" s="114">
        <v>0</v>
      </c>
      <c r="N28" s="162">
        <v>0.25</v>
      </c>
      <c r="O28" s="146">
        <f>Table3[[#This Row],[Order Quantity (Pkts)]]*Table3[[#This Row],[Column1]]</f>
        <v>0</v>
      </c>
    </row>
    <row r="29" spans="1:15" s="26" customFormat="1" ht="14.25" customHeight="1" x14ac:dyDescent="0.25">
      <c r="A29" s="19">
        <v>24</v>
      </c>
      <c r="B29" s="20" t="s">
        <v>15</v>
      </c>
      <c r="C29" s="32" t="s">
        <v>19</v>
      </c>
      <c r="D29" s="135" t="s">
        <v>17</v>
      </c>
      <c r="E29" s="38">
        <v>8</v>
      </c>
      <c r="F29" s="34" t="s">
        <v>17</v>
      </c>
      <c r="G29" s="34" t="s">
        <v>17</v>
      </c>
      <c r="H29" s="35" t="s">
        <v>17</v>
      </c>
      <c r="I29" s="34" t="s">
        <v>17</v>
      </c>
      <c r="J29" s="27">
        <v>3.1E-2</v>
      </c>
      <c r="K29" s="23"/>
      <c r="L29" s="24">
        <f>Table3[[#This Row],[BOX Quantity]]*Table3[[#This Row],[Unprinted Pouch]]</f>
        <v>0</v>
      </c>
      <c r="M29" s="114">
        <v>0</v>
      </c>
      <c r="N29" s="162">
        <v>0.4</v>
      </c>
      <c r="O29" s="146">
        <f>Table3[[#This Row],[Order Quantity (Pkts)]]*Table3[[#This Row],[Column1]]</f>
        <v>0</v>
      </c>
    </row>
    <row r="30" spans="1:15" s="26" customFormat="1" ht="14.25" customHeight="1" x14ac:dyDescent="0.25">
      <c r="A30" s="19">
        <v>25</v>
      </c>
      <c r="B30" s="20" t="s">
        <v>25</v>
      </c>
      <c r="C30" s="32" t="s">
        <v>16</v>
      </c>
      <c r="D30" s="21" t="s">
        <v>17</v>
      </c>
      <c r="E30" s="21" t="s">
        <v>17</v>
      </c>
      <c r="F30" s="33">
        <v>70</v>
      </c>
      <c r="G30" s="21" t="s">
        <v>17</v>
      </c>
      <c r="H30" s="21" t="s">
        <v>17</v>
      </c>
      <c r="I30" s="21" t="s">
        <v>17</v>
      </c>
      <c r="J30" s="27">
        <v>3.1E-2</v>
      </c>
      <c r="K30" s="23"/>
      <c r="L30" s="24">
        <f>K30*Table3[[#This Row],[Standup pouch]]</f>
        <v>0</v>
      </c>
      <c r="M30" s="25">
        <f t="shared" si="1"/>
        <v>0</v>
      </c>
      <c r="N30" s="162">
        <v>0.1</v>
      </c>
      <c r="O30" s="146">
        <f>Table3[[#This Row],[Order Quantity (Pkts)]]*Table3[[#This Row],[Column1]]</f>
        <v>0</v>
      </c>
    </row>
    <row r="31" spans="1:15" s="26" customFormat="1" ht="14.25" customHeight="1" x14ac:dyDescent="0.25">
      <c r="A31" s="19">
        <v>26</v>
      </c>
      <c r="B31" s="20" t="s">
        <v>25</v>
      </c>
      <c r="C31" s="32" t="s">
        <v>16</v>
      </c>
      <c r="D31" s="21" t="s">
        <v>17</v>
      </c>
      <c r="E31" s="38">
        <v>90</v>
      </c>
      <c r="F31" s="21" t="s">
        <v>17</v>
      </c>
      <c r="G31" s="21" t="s">
        <v>17</v>
      </c>
      <c r="H31" s="21" t="s">
        <v>17</v>
      </c>
      <c r="I31" s="21" t="s">
        <v>17</v>
      </c>
      <c r="J31" s="27">
        <v>3.1E-2</v>
      </c>
      <c r="K31" s="23"/>
      <c r="L31" s="24">
        <f>K31*Table3[[#This Row],[Unprinted Pouch]]</f>
        <v>0</v>
      </c>
      <c r="M31" s="36">
        <f t="shared" si="1"/>
        <v>0</v>
      </c>
      <c r="N31" s="162">
        <v>0.1</v>
      </c>
      <c r="O31" s="146">
        <f>Table3[[#This Row],[Order Quantity (Pkts)]]*Table3[[#This Row],[Column1]]</f>
        <v>0</v>
      </c>
    </row>
    <row r="32" spans="1:15" s="26" customFormat="1" ht="14.25" customHeight="1" x14ac:dyDescent="0.25">
      <c r="A32" s="19">
        <v>27</v>
      </c>
      <c r="B32" s="20" t="s">
        <v>25</v>
      </c>
      <c r="C32" s="32" t="s">
        <v>18</v>
      </c>
      <c r="D32" s="21" t="s">
        <v>17</v>
      </c>
      <c r="E32" s="21" t="s">
        <v>17</v>
      </c>
      <c r="F32" s="33">
        <v>38</v>
      </c>
      <c r="G32" s="21" t="s">
        <v>17</v>
      </c>
      <c r="H32" s="21" t="s">
        <v>17</v>
      </c>
      <c r="I32" s="21" t="s">
        <v>17</v>
      </c>
      <c r="J32" s="27">
        <v>3.1E-2</v>
      </c>
      <c r="K32" s="23"/>
      <c r="L32" s="24">
        <f>K32*F32</f>
        <v>0</v>
      </c>
      <c r="M32" s="25">
        <f t="shared" si="1"/>
        <v>0</v>
      </c>
      <c r="N32" s="162">
        <v>0.25</v>
      </c>
      <c r="O32" s="146">
        <f>Table3[[#This Row],[Order Quantity (Pkts)]]*Table3[[#This Row],[Column1]]</f>
        <v>0</v>
      </c>
    </row>
    <row r="33" spans="1:15" s="26" customFormat="1" ht="14.25" customHeight="1" x14ac:dyDescent="0.25">
      <c r="A33" s="19">
        <v>28</v>
      </c>
      <c r="B33" s="20" t="s">
        <v>25</v>
      </c>
      <c r="C33" s="32" t="s">
        <v>18</v>
      </c>
      <c r="D33" s="21" t="s">
        <v>17</v>
      </c>
      <c r="E33" s="37">
        <v>42</v>
      </c>
      <c r="F33" s="21" t="s">
        <v>17</v>
      </c>
      <c r="G33" s="21" t="s">
        <v>17</v>
      </c>
      <c r="H33" s="21" t="s">
        <v>17</v>
      </c>
      <c r="I33" s="21" t="s">
        <v>17</v>
      </c>
      <c r="J33" s="27">
        <v>3.1E-2</v>
      </c>
      <c r="K33" s="23"/>
      <c r="L33" s="24">
        <f>K33*Table3[[#This Row],[Unprinted Pouch]]</f>
        <v>0</v>
      </c>
      <c r="M33" s="25">
        <f t="shared" si="1"/>
        <v>0</v>
      </c>
      <c r="N33" s="162">
        <v>0.25</v>
      </c>
      <c r="O33" s="146">
        <f>Table3[[#This Row],[Order Quantity (Pkts)]]*Table3[[#This Row],[Column1]]</f>
        <v>0</v>
      </c>
    </row>
    <row r="34" spans="1:15" s="26" customFormat="1" ht="14.25" customHeight="1" x14ac:dyDescent="0.25">
      <c r="A34" s="19">
        <v>29</v>
      </c>
      <c r="B34" s="20" t="s">
        <v>25</v>
      </c>
      <c r="C34" s="32" t="s">
        <v>22</v>
      </c>
      <c r="D34" s="21" t="s">
        <v>17</v>
      </c>
      <c r="E34" s="21" t="s">
        <v>17</v>
      </c>
      <c r="F34" s="33">
        <v>20</v>
      </c>
      <c r="G34" s="21" t="s">
        <v>17</v>
      </c>
      <c r="H34" s="21" t="s">
        <v>17</v>
      </c>
      <c r="I34" s="21" t="s">
        <v>17</v>
      </c>
      <c r="J34" s="27">
        <v>3.1E-2</v>
      </c>
      <c r="K34" s="23"/>
      <c r="L34" s="24">
        <f>K34*F34</f>
        <v>0</v>
      </c>
      <c r="M34" s="25">
        <f t="shared" si="1"/>
        <v>0</v>
      </c>
      <c r="N34" s="162">
        <v>0.5</v>
      </c>
      <c r="O34" s="146">
        <f>Table3[[#This Row],[Order Quantity (Pkts)]]*Table3[[#This Row],[Column1]]</f>
        <v>0</v>
      </c>
    </row>
    <row r="35" spans="1:15" s="26" customFormat="1" ht="14.25" customHeight="1" x14ac:dyDescent="0.25">
      <c r="A35" s="19">
        <v>30</v>
      </c>
      <c r="B35" s="20" t="s">
        <v>25</v>
      </c>
      <c r="C35" s="32" t="s">
        <v>22</v>
      </c>
      <c r="D35" s="21" t="s">
        <v>17</v>
      </c>
      <c r="E35" s="37">
        <v>24</v>
      </c>
      <c r="F35" s="21" t="s">
        <v>17</v>
      </c>
      <c r="G35" s="21" t="s">
        <v>17</v>
      </c>
      <c r="H35" s="21" t="s">
        <v>17</v>
      </c>
      <c r="I35" s="21" t="s">
        <v>17</v>
      </c>
      <c r="J35" s="27">
        <v>3.1E-2</v>
      </c>
      <c r="K35" s="23"/>
      <c r="L35" s="24">
        <f>K35*Table3[[#This Row],[Unprinted Pouch]]</f>
        <v>0</v>
      </c>
      <c r="M35" s="25">
        <f t="shared" si="1"/>
        <v>0</v>
      </c>
      <c r="N35" s="162">
        <v>0.5</v>
      </c>
      <c r="O35" s="146">
        <f>Table3[[#This Row],[Order Quantity (Pkts)]]*Table3[[#This Row],[Column1]]</f>
        <v>0</v>
      </c>
    </row>
    <row r="36" spans="1:15" s="26" customFormat="1" ht="14.25" customHeight="1" x14ac:dyDescent="0.25">
      <c r="A36" s="19">
        <v>31</v>
      </c>
      <c r="B36" s="20" t="s">
        <v>29</v>
      </c>
      <c r="C36" s="32" t="s">
        <v>27</v>
      </c>
      <c r="D36" s="33">
        <v>240</v>
      </c>
      <c r="E36" s="21" t="s">
        <v>17</v>
      </c>
      <c r="F36" s="21" t="s">
        <v>17</v>
      </c>
      <c r="G36" s="21" t="s">
        <v>17</v>
      </c>
      <c r="H36" s="21" t="s">
        <v>17</v>
      </c>
      <c r="I36" s="21" t="s">
        <v>17</v>
      </c>
      <c r="J36" s="27">
        <v>3.1E-2</v>
      </c>
      <c r="K36" s="23"/>
      <c r="L36" s="24">
        <f>K36*D36</f>
        <v>0</v>
      </c>
      <c r="M36" s="25">
        <f t="shared" si="1"/>
        <v>0</v>
      </c>
      <c r="N36" s="162">
        <v>2.5000000000000001E-2</v>
      </c>
      <c r="O36" s="146">
        <f>Table3[[#This Row],[Order Quantity (Pkts)]]*Table3[[#This Row],[Column1]]</f>
        <v>0</v>
      </c>
    </row>
    <row r="37" spans="1:15" s="26" customFormat="1" ht="14.25" customHeight="1" x14ac:dyDescent="0.25">
      <c r="A37" s="19">
        <v>32</v>
      </c>
      <c r="B37" s="20" t="s">
        <v>29</v>
      </c>
      <c r="C37" s="32" t="s">
        <v>21</v>
      </c>
      <c r="D37" s="33">
        <v>200</v>
      </c>
      <c r="E37" s="21" t="s">
        <v>17</v>
      </c>
      <c r="F37" s="21" t="s">
        <v>17</v>
      </c>
      <c r="G37" s="21" t="s">
        <v>17</v>
      </c>
      <c r="H37" s="21" t="s">
        <v>17</v>
      </c>
      <c r="I37" s="21" t="s">
        <v>17</v>
      </c>
      <c r="J37" s="27">
        <v>3.1E-2</v>
      </c>
      <c r="K37" s="23"/>
      <c r="L37" s="24">
        <f>K37*D37</f>
        <v>0</v>
      </c>
      <c r="M37" s="25">
        <f t="shared" si="1"/>
        <v>0</v>
      </c>
      <c r="N37" s="162">
        <v>0.05</v>
      </c>
      <c r="O37" s="146">
        <f>Table3[[#This Row],[Order Quantity (Pkts)]]*Table3[[#This Row],[Column1]]</f>
        <v>0</v>
      </c>
    </row>
    <row r="38" spans="1:15" s="26" customFormat="1" ht="14.25" customHeight="1" x14ac:dyDescent="0.25">
      <c r="A38" s="19">
        <v>33</v>
      </c>
      <c r="B38" s="20" t="s">
        <v>29</v>
      </c>
      <c r="C38" s="32" t="s">
        <v>16</v>
      </c>
      <c r="D38" s="33">
        <v>100</v>
      </c>
      <c r="E38" s="21" t="s">
        <v>17</v>
      </c>
      <c r="F38" s="21" t="s">
        <v>17</v>
      </c>
      <c r="G38" s="21" t="s">
        <v>17</v>
      </c>
      <c r="H38" s="21" t="s">
        <v>17</v>
      </c>
      <c r="I38" s="21" t="s">
        <v>17</v>
      </c>
      <c r="J38" s="27">
        <v>3.1E-2</v>
      </c>
      <c r="K38" s="23"/>
      <c r="L38" s="24">
        <f>K38*D38</f>
        <v>0</v>
      </c>
      <c r="M38" s="25">
        <f t="shared" si="1"/>
        <v>0</v>
      </c>
      <c r="N38" s="162">
        <v>0.1</v>
      </c>
      <c r="O38" s="146">
        <f>Table3[[#This Row],[Order Quantity (Pkts)]]*Table3[[#This Row],[Column1]]</f>
        <v>0</v>
      </c>
    </row>
    <row r="39" spans="1:15" s="26" customFormat="1" ht="14.25" customHeight="1" x14ac:dyDescent="0.25">
      <c r="A39" s="19">
        <v>34</v>
      </c>
      <c r="B39" s="20" t="s">
        <v>29</v>
      </c>
      <c r="C39" s="32" t="s">
        <v>18</v>
      </c>
      <c r="D39" s="33">
        <v>50</v>
      </c>
      <c r="E39" s="21" t="s">
        <v>17</v>
      </c>
      <c r="F39" s="21" t="s">
        <v>17</v>
      </c>
      <c r="G39" s="21" t="s">
        <v>17</v>
      </c>
      <c r="H39" s="21" t="s">
        <v>17</v>
      </c>
      <c r="I39" s="21" t="s">
        <v>17</v>
      </c>
      <c r="J39" s="27">
        <v>3.1E-2</v>
      </c>
      <c r="K39" s="23"/>
      <c r="L39" s="24">
        <f>K39*D39</f>
        <v>0</v>
      </c>
      <c r="M39" s="25">
        <f t="shared" si="1"/>
        <v>0</v>
      </c>
      <c r="N39" s="162">
        <v>0.25</v>
      </c>
      <c r="O39" s="145">
        <f>Table3[[#This Row],[Order Quantity (Pkts)]]*Table3[[#This Row],[Column1]]</f>
        <v>0</v>
      </c>
    </row>
    <row r="40" spans="1:15" s="26" customFormat="1" ht="14.25" customHeight="1" x14ac:dyDescent="0.25">
      <c r="A40" s="19">
        <v>35</v>
      </c>
      <c r="B40" s="20" t="s">
        <v>29</v>
      </c>
      <c r="C40" s="32" t="s">
        <v>22</v>
      </c>
      <c r="D40" s="33">
        <v>24</v>
      </c>
      <c r="E40" s="21" t="s">
        <v>17</v>
      </c>
      <c r="F40" s="21" t="s">
        <v>17</v>
      </c>
      <c r="G40" s="21" t="s">
        <v>17</v>
      </c>
      <c r="H40" s="21" t="s">
        <v>17</v>
      </c>
      <c r="I40" s="21" t="s">
        <v>17</v>
      </c>
      <c r="J40" s="27">
        <v>3.1E-2</v>
      </c>
      <c r="K40" s="23"/>
      <c r="L40" s="24">
        <f>K40*D40</f>
        <v>0</v>
      </c>
      <c r="M40" s="25">
        <f t="shared" si="1"/>
        <v>0</v>
      </c>
      <c r="N40" s="162">
        <v>0.5</v>
      </c>
      <c r="O40" s="146">
        <f>Table3[[#This Row],[Order Quantity (Pkts)]]*Table3[[#This Row],[Column1]]</f>
        <v>0</v>
      </c>
    </row>
    <row r="41" spans="1:15" s="26" customFormat="1" ht="14.25" customHeight="1" x14ac:dyDescent="0.25">
      <c r="A41" s="19">
        <v>36</v>
      </c>
      <c r="B41" s="20" t="s">
        <v>29</v>
      </c>
      <c r="C41" s="32" t="s">
        <v>23</v>
      </c>
      <c r="D41" s="33">
        <v>14</v>
      </c>
      <c r="E41" s="21" t="s">
        <v>17</v>
      </c>
      <c r="F41" s="21" t="s">
        <v>17</v>
      </c>
      <c r="G41" s="21" t="s">
        <v>17</v>
      </c>
      <c r="H41" s="21" t="s">
        <v>17</v>
      </c>
      <c r="I41" s="21" t="s">
        <v>17</v>
      </c>
      <c r="J41" s="27">
        <v>3.1E-2</v>
      </c>
      <c r="K41" s="23"/>
      <c r="L41" s="24">
        <f>K41*D41</f>
        <v>0</v>
      </c>
      <c r="M41" s="25">
        <f t="shared" si="1"/>
        <v>0</v>
      </c>
      <c r="N41" s="162">
        <v>1</v>
      </c>
      <c r="O41" s="145">
        <f>Table3[[#This Row],[Order Quantity (Pkts)]]*Table3[[#This Row],[Column1]]</f>
        <v>0</v>
      </c>
    </row>
    <row r="42" spans="1:15" s="26" customFormat="1" ht="14.25" customHeight="1" x14ac:dyDescent="0.25">
      <c r="A42" s="19">
        <v>37</v>
      </c>
      <c r="B42" s="20" t="s">
        <v>30</v>
      </c>
      <c r="C42" s="32" t="s">
        <v>21</v>
      </c>
      <c r="D42" s="33">
        <v>155</v>
      </c>
      <c r="E42" s="21" t="s">
        <v>17</v>
      </c>
      <c r="F42" s="21" t="s">
        <v>17</v>
      </c>
      <c r="G42" s="21" t="s">
        <v>17</v>
      </c>
      <c r="H42" s="21" t="s">
        <v>17</v>
      </c>
      <c r="I42" s="21" t="s">
        <v>17</v>
      </c>
      <c r="J42" s="27">
        <v>3.1E-2</v>
      </c>
      <c r="K42" s="23"/>
      <c r="L42" s="24">
        <f>K42*D42</f>
        <v>0</v>
      </c>
      <c r="M42" s="25">
        <f t="shared" si="1"/>
        <v>0</v>
      </c>
      <c r="N42" s="162">
        <v>0.05</v>
      </c>
      <c r="O42" s="146">
        <f>Table3[[#This Row],[Order Quantity (Pkts)]]*Table3[[#This Row],[Column1]]</f>
        <v>0</v>
      </c>
    </row>
    <row r="43" spans="1:15" s="26" customFormat="1" ht="14.25" customHeight="1" x14ac:dyDescent="0.25">
      <c r="A43" s="19">
        <v>38</v>
      </c>
      <c r="B43" s="20" t="s">
        <v>30</v>
      </c>
      <c r="C43" s="32" t="s">
        <v>16</v>
      </c>
      <c r="D43" s="21" t="s">
        <v>17</v>
      </c>
      <c r="E43" s="21" t="s">
        <v>17</v>
      </c>
      <c r="F43" s="38">
        <v>70</v>
      </c>
      <c r="G43" s="21" t="s">
        <v>17</v>
      </c>
      <c r="H43" s="21" t="s">
        <v>17</v>
      </c>
      <c r="I43" s="21" t="s">
        <v>17</v>
      </c>
      <c r="J43" s="27">
        <v>3.1E-2</v>
      </c>
      <c r="K43" s="23"/>
      <c r="L43" s="24">
        <f>K43*F43</f>
        <v>0</v>
      </c>
      <c r="M43" s="25">
        <f t="shared" si="1"/>
        <v>0</v>
      </c>
      <c r="N43" s="162">
        <v>0.1</v>
      </c>
      <c r="O43" s="146">
        <f>Table3[[#This Row],[Order Quantity (Pkts)]]*Table3[[#This Row],[Column1]]</f>
        <v>0</v>
      </c>
    </row>
    <row r="44" spans="1:15" s="26" customFormat="1" ht="14.25" customHeight="1" x14ac:dyDescent="0.25">
      <c r="A44" s="19">
        <v>39</v>
      </c>
      <c r="B44" s="20" t="s">
        <v>30</v>
      </c>
      <c r="C44" s="32" t="s">
        <v>16</v>
      </c>
      <c r="D44" s="21" t="s">
        <v>17</v>
      </c>
      <c r="E44" s="29">
        <v>110</v>
      </c>
      <c r="F44" s="21" t="s">
        <v>17</v>
      </c>
      <c r="G44" s="21" t="s">
        <v>17</v>
      </c>
      <c r="H44" s="21" t="s">
        <v>17</v>
      </c>
      <c r="I44" s="21" t="s">
        <v>17</v>
      </c>
      <c r="J44" s="27">
        <v>3.1E-2</v>
      </c>
      <c r="K44" s="23"/>
      <c r="L44" s="24">
        <f>K44*Table3[[#This Row],[Unprinted Pouch]]</f>
        <v>0</v>
      </c>
      <c r="M44" s="25">
        <f t="shared" si="1"/>
        <v>0</v>
      </c>
      <c r="N44" s="162">
        <v>0.1</v>
      </c>
      <c r="O44" s="146">
        <f>Table3[[#This Row],[Order Quantity (Pkts)]]*Table3[[#This Row],[Column1]]</f>
        <v>0</v>
      </c>
    </row>
    <row r="45" spans="1:15" s="26" customFormat="1" ht="14.25" customHeight="1" x14ac:dyDescent="0.25">
      <c r="A45" s="19">
        <v>40</v>
      </c>
      <c r="B45" s="20" t="s">
        <v>30</v>
      </c>
      <c r="C45" s="32" t="s">
        <v>31</v>
      </c>
      <c r="D45" s="21" t="s">
        <v>17</v>
      </c>
      <c r="E45" s="29">
        <v>60</v>
      </c>
      <c r="F45" s="21" t="s">
        <v>17</v>
      </c>
      <c r="G45" s="21" t="s">
        <v>17</v>
      </c>
      <c r="H45" s="21" t="s">
        <v>17</v>
      </c>
      <c r="I45" s="21" t="s">
        <v>17</v>
      </c>
      <c r="J45" s="27">
        <v>3.1E-2</v>
      </c>
      <c r="K45" s="23"/>
      <c r="L45" s="24">
        <f>K45*Table3[[#This Row],[Unprinted Pouch]]</f>
        <v>0</v>
      </c>
      <c r="M45" s="25">
        <f t="shared" si="1"/>
        <v>0</v>
      </c>
      <c r="N45" s="162">
        <v>0.2</v>
      </c>
      <c r="O45" s="146">
        <f>Table3[[#This Row],[Order Quantity (Pkts)]]*Table3[[#This Row],[Column1]]</f>
        <v>0</v>
      </c>
    </row>
    <row r="46" spans="1:15" s="26" customFormat="1" ht="14.25" customHeight="1" x14ac:dyDescent="0.25">
      <c r="A46" s="19">
        <v>41</v>
      </c>
      <c r="B46" s="20" t="s">
        <v>30</v>
      </c>
      <c r="C46" s="32" t="s">
        <v>18</v>
      </c>
      <c r="D46" s="21" t="s">
        <v>17</v>
      </c>
      <c r="E46" s="29">
        <v>42</v>
      </c>
      <c r="F46" s="21" t="s">
        <v>17</v>
      </c>
      <c r="G46" s="21" t="s">
        <v>17</v>
      </c>
      <c r="H46" s="21" t="s">
        <v>17</v>
      </c>
      <c r="I46" s="21" t="s">
        <v>17</v>
      </c>
      <c r="J46" s="27">
        <v>3.1E-2</v>
      </c>
      <c r="K46" s="23"/>
      <c r="L46" s="24">
        <f>K46*Table3[[#This Row],[Unprinted Pouch]]</f>
        <v>0</v>
      </c>
      <c r="M46" s="25">
        <f t="shared" si="1"/>
        <v>0</v>
      </c>
      <c r="N46" s="162">
        <v>0.25</v>
      </c>
      <c r="O46" s="146">
        <f>Table3[[#This Row],[Order Quantity (Pkts)]]*Table3[[#This Row],[Column1]]</f>
        <v>0</v>
      </c>
    </row>
    <row r="47" spans="1:15" s="26" customFormat="1" ht="14.25" customHeight="1" x14ac:dyDescent="0.25">
      <c r="A47" s="19">
        <v>42</v>
      </c>
      <c r="B47" s="20" t="s">
        <v>32</v>
      </c>
      <c r="C47" s="32" t="s">
        <v>21</v>
      </c>
      <c r="D47" s="37">
        <v>280</v>
      </c>
      <c r="E47" s="21" t="s">
        <v>17</v>
      </c>
      <c r="F47" s="21" t="s">
        <v>17</v>
      </c>
      <c r="G47" s="21" t="s">
        <v>17</v>
      </c>
      <c r="H47" s="21" t="s">
        <v>17</v>
      </c>
      <c r="I47" s="21" t="s">
        <v>17</v>
      </c>
      <c r="J47" s="27">
        <v>3.1E-2</v>
      </c>
      <c r="K47" s="23"/>
      <c r="L47" s="24">
        <f>K47*D47</f>
        <v>0</v>
      </c>
      <c r="M47" s="25">
        <f>J47*K47</f>
        <v>0</v>
      </c>
      <c r="N47" s="162">
        <v>0.05</v>
      </c>
      <c r="O47" s="145">
        <f>Table3[[#This Row],[Order Quantity (Pkts)]]*Table3[[#This Row],[Column1]]</f>
        <v>0</v>
      </c>
    </row>
    <row r="48" spans="1:15" s="26" customFormat="1" ht="14.25" customHeight="1" x14ac:dyDescent="0.25">
      <c r="A48" s="19">
        <v>43</v>
      </c>
      <c r="B48" s="20" t="s">
        <v>32</v>
      </c>
      <c r="C48" s="32" t="s">
        <v>16</v>
      </c>
      <c r="D48" s="21" t="s">
        <v>17</v>
      </c>
      <c r="E48" s="21" t="s">
        <v>17</v>
      </c>
      <c r="F48" s="39">
        <v>90</v>
      </c>
      <c r="G48" s="21" t="s">
        <v>17</v>
      </c>
      <c r="H48" s="21" t="s">
        <v>17</v>
      </c>
      <c r="I48" s="21" t="s">
        <v>17</v>
      </c>
      <c r="J48" s="27">
        <v>3.1E-2</v>
      </c>
      <c r="K48" s="23"/>
      <c r="L48" s="24">
        <f>K48*F48</f>
        <v>0</v>
      </c>
      <c r="M48" s="25">
        <f t="shared" ref="M48:M65" si="2">K48*J48</f>
        <v>0</v>
      </c>
      <c r="N48" s="162">
        <v>0.1</v>
      </c>
      <c r="O48" s="146">
        <f>Table3[[#This Row],[Order Quantity (Pkts)]]*Table3[[#This Row],[Column1]]</f>
        <v>0</v>
      </c>
    </row>
    <row r="49" spans="1:15" s="26" customFormat="1" ht="14.25" customHeight="1" x14ac:dyDescent="0.25">
      <c r="A49" s="19">
        <v>44</v>
      </c>
      <c r="B49" s="20" t="s">
        <v>32</v>
      </c>
      <c r="C49" s="32" t="s">
        <v>16</v>
      </c>
      <c r="D49" s="21" t="s">
        <v>17</v>
      </c>
      <c r="E49" s="29">
        <v>132</v>
      </c>
      <c r="F49" s="21" t="s">
        <v>17</v>
      </c>
      <c r="G49" s="21" t="s">
        <v>17</v>
      </c>
      <c r="H49" s="21" t="s">
        <v>17</v>
      </c>
      <c r="I49" s="21" t="s">
        <v>17</v>
      </c>
      <c r="J49" s="27">
        <v>3.1E-2</v>
      </c>
      <c r="K49" s="23"/>
      <c r="L49" s="24">
        <f>K49*Table3[[#This Row],[Unprinted Pouch]]</f>
        <v>0</v>
      </c>
      <c r="M49" s="25">
        <f t="shared" si="2"/>
        <v>0</v>
      </c>
      <c r="N49" s="162">
        <v>0.1</v>
      </c>
      <c r="O49" s="145">
        <f>Table3[[#This Row],[Order Quantity (Pkts)]]*Table3[[#This Row],[Column1]]</f>
        <v>0</v>
      </c>
    </row>
    <row r="50" spans="1:15" s="26" customFormat="1" ht="14.25" customHeight="1" x14ac:dyDescent="0.25">
      <c r="A50" s="19">
        <v>45</v>
      </c>
      <c r="B50" s="20" t="s">
        <v>175</v>
      </c>
      <c r="C50" s="32" t="s">
        <v>21</v>
      </c>
      <c r="D50" s="37">
        <v>140</v>
      </c>
      <c r="E50" s="21" t="s">
        <v>17</v>
      </c>
      <c r="F50" s="21" t="s">
        <v>17</v>
      </c>
      <c r="G50" s="21" t="s">
        <v>17</v>
      </c>
      <c r="H50" s="21" t="s">
        <v>17</v>
      </c>
      <c r="I50" s="21" t="s">
        <v>17</v>
      </c>
      <c r="J50" s="27">
        <v>3.1E-2</v>
      </c>
      <c r="K50" s="23"/>
      <c r="L50" s="24">
        <f>K50*D50</f>
        <v>0</v>
      </c>
      <c r="M50" s="25">
        <f t="shared" si="2"/>
        <v>0</v>
      </c>
      <c r="N50" s="162">
        <v>0.05</v>
      </c>
      <c r="O50" s="146">
        <f>Table3[[#This Row],[Order Quantity (Pkts)]]*Table3[[#This Row],[Column1]]</f>
        <v>0</v>
      </c>
    </row>
    <row r="51" spans="1:15" s="26" customFormat="1" ht="14.25" customHeight="1" x14ac:dyDescent="0.25">
      <c r="A51" s="19">
        <v>46</v>
      </c>
      <c r="B51" s="20" t="s">
        <v>175</v>
      </c>
      <c r="C51" s="32" t="s">
        <v>16</v>
      </c>
      <c r="D51" s="135"/>
      <c r="E51" s="157">
        <v>100</v>
      </c>
      <c r="F51" s="34"/>
      <c r="G51" s="34"/>
      <c r="H51" s="35"/>
      <c r="I51" s="34"/>
      <c r="J51" s="27">
        <v>3.1E-2</v>
      </c>
      <c r="K51" s="23"/>
      <c r="L51" s="24">
        <f>Table3[[#This Row],[BOX Quantity]]*Table3[[#This Row],[Unprinted Pouch]]</f>
        <v>0</v>
      </c>
      <c r="M51" s="114">
        <f>K51*J51</f>
        <v>0</v>
      </c>
      <c r="N51" s="162">
        <v>0.1</v>
      </c>
      <c r="O51" s="146">
        <f>Table3[[#This Row],[Order Quantity (Pkts)]]*Table3[[#This Row],[Column1]]</f>
        <v>0</v>
      </c>
    </row>
    <row r="52" spans="1:15" s="26" customFormat="1" ht="14.25" customHeight="1" x14ac:dyDescent="0.25">
      <c r="A52" s="19">
        <v>47</v>
      </c>
      <c r="B52" s="20" t="s">
        <v>33</v>
      </c>
      <c r="C52" s="32" t="s">
        <v>21</v>
      </c>
      <c r="D52" s="33">
        <v>200</v>
      </c>
      <c r="E52" s="21" t="s">
        <v>17</v>
      </c>
      <c r="F52" s="21" t="s">
        <v>17</v>
      </c>
      <c r="G52" s="21" t="s">
        <v>17</v>
      </c>
      <c r="H52" s="21" t="s">
        <v>17</v>
      </c>
      <c r="I52" s="21" t="s">
        <v>17</v>
      </c>
      <c r="J52" s="27">
        <v>3.1E-2</v>
      </c>
      <c r="K52" s="23"/>
      <c r="L52" s="24">
        <f>K52*D52</f>
        <v>0</v>
      </c>
      <c r="M52" s="25">
        <f t="shared" si="2"/>
        <v>0</v>
      </c>
      <c r="N52" s="162">
        <v>0.05</v>
      </c>
      <c r="O52" s="146">
        <f>Table3[[#This Row],[Order Quantity (Pkts)]]*Table3[[#This Row],[Column1]]</f>
        <v>0</v>
      </c>
    </row>
    <row r="53" spans="1:15" s="26" customFormat="1" ht="14.25" customHeight="1" x14ac:dyDescent="0.25">
      <c r="A53" s="19">
        <v>48</v>
      </c>
      <c r="B53" s="20" t="s">
        <v>34</v>
      </c>
      <c r="C53" s="32" t="s">
        <v>22</v>
      </c>
      <c r="D53" s="21" t="s">
        <v>17</v>
      </c>
      <c r="E53" s="38">
        <v>24</v>
      </c>
      <c r="F53" s="21" t="s">
        <v>17</v>
      </c>
      <c r="G53" s="21" t="s">
        <v>17</v>
      </c>
      <c r="H53" s="21" t="s">
        <v>17</v>
      </c>
      <c r="I53" s="21" t="s">
        <v>17</v>
      </c>
      <c r="J53" s="27">
        <v>3.1E-2</v>
      </c>
      <c r="K53" s="23"/>
      <c r="L53" s="24">
        <f>K53*Table3[[#This Row],[Unprinted Pouch]]</f>
        <v>0</v>
      </c>
      <c r="M53" s="25">
        <f t="shared" si="2"/>
        <v>0</v>
      </c>
      <c r="N53" s="162">
        <v>0.5</v>
      </c>
      <c r="O53" s="146">
        <f>Table3[[#This Row],[Order Quantity (Pkts)]]*Table3[[#This Row],[Column1]]</f>
        <v>0</v>
      </c>
    </row>
    <row r="54" spans="1:15" s="26" customFormat="1" ht="14.25" customHeight="1" x14ac:dyDescent="0.25">
      <c r="A54" s="19">
        <v>49</v>
      </c>
      <c r="B54" s="20" t="s">
        <v>34</v>
      </c>
      <c r="C54" s="32" t="s">
        <v>23</v>
      </c>
      <c r="D54" s="21" t="s">
        <v>17</v>
      </c>
      <c r="E54" s="38">
        <v>12</v>
      </c>
      <c r="F54" s="21" t="s">
        <v>17</v>
      </c>
      <c r="G54" s="21" t="s">
        <v>17</v>
      </c>
      <c r="H54" s="21" t="s">
        <v>17</v>
      </c>
      <c r="I54" s="21" t="s">
        <v>17</v>
      </c>
      <c r="J54" s="27">
        <v>3.1E-2</v>
      </c>
      <c r="K54" s="23"/>
      <c r="L54" s="24">
        <f>K54*Table3[[#This Row],[Unprinted Pouch]]</f>
        <v>0</v>
      </c>
      <c r="M54" s="25">
        <f t="shared" si="2"/>
        <v>0</v>
      </c>
      <c r="N54" s="162">
        <v>1</v>
      </c>
      <c r="O54" s="146">
        <f>Table3[[#This Row],[Order Quantity (Pkts)]]*Table3[[#This Row],[Column1]]</f>
        <v>0</v>
      </c>
    </row>
    <row r="55" spans="1:15" s="26" customFormat="1" ht="14.25" customHeight="1" x14ac:dyDescent="0.25">
      <c r="A55" s="19">
        <v>50</v>
      </c>
      <c r="B55" s="20" t="s">
        <v>35</v>
      </c>
      <c r="C55" s="32" t="s">
        <v>21</v>
      </c>
      <c r="D55" s="33">
        <v>300</v>
      </c>
      <c r="E55" s="21" t="s">
        <v>17</v>
      </c>
      <c r="F55" s="21" t="s">
        <v>17</v>
      </c>
      <c r="G55" s="21" t="s">
        <v>17</v>
      </c>
      <c r="H55" s="21" t="s">
        <v>17</v>
      </c>
      <c r="I55" s="21" t="s">
        <v>17</v>
      </c>
      <c r="J55" s="27">
        <v>3.1E-2</v>
      </c>
      <c r="K55" s="23"/>
      <c r="L55" s="24">
        <f>K55*D55</f>
        <v>0</v>
      </c>
      <c r="M55" s="25">
        <f t="shared" si="2"/>
        <v>0</v>
      </c>
      <c r="N55" s="162">
        <v>0.05</v>
      </c>
      <c r="O55" s="145">
        <f>Table3[[#This Row],[Order Quantity (Pkts)]]*Table3[[#This Row],[Column1]]</f>
        <v>0</v>
      </c>
    </row>
    <row r="56" spans="1:15" s="26" customFormat="1" ht="14.25" customHeight="1" x14ac:dyDescent="0.25">
      <c r="A56" s="19">
        <v>51</v>
      </c>
      <c r="B56" s="20" t="s">
        <v>35</v>
      </c>
      <c r="C56" s="32" t="s">
        <v>23</v>
      </c>
      <c r="D56" s="21" t="s">
        <v>17</v>
      </c>
      <c r="E56" s="33">
        <v>16</v>
      </c>
      <c r="F56" s="21" t="s">
        <v>17</v>
      </c>
      <c r="G56" s="21" t="s">
        <v>17</v>
      </c>
      <c r="H56" s="21" t="s">
        <v>17</v>
      </c>
      <c r="I56" s="21" t="s">
        <v>17</v>
      </c>
      <c r="J56" s="27">
        <v>3.1E-2</v>
      </c>
      <c r="K56" s="23"/>
      <c r="L56" s="24">
        <f>K56*Table3[[#This Row],[Unprinted Pouch]]</f>
        <v>0</v>
      </c>
      <c r="M56" s="25">
        <f t="shared" si="2"/>
        <v>0</v>
      </c>
      <c r="N56" s="162">
        <v>1</v>
      </c>
      <c r="O56" s="145">
        <f>Table3[[#This Row],[Order Quantity (Pkts)]]*Table3[[#This Row],[Column1]]</f>
        <v>0</v>
      </c>
    </row>
    <row r="57" spans="1:15" s="26" customFormat="1" ht="14.25" customHeight="1" x14ac:dyDescent="0.25">
      <c r="A57" s="19">
        <v>52</v>
      </c>
      <c r="B57" s="20" t="s">
        <v>36</v>
      </c>
      <c r="C57" s="32" t="s">
        <v>21</v>
      </c>
      <c r="D57" s="33">
        <v>180</v>
      </c>
      <c r="E57" s="21" t="s">
        <v>17</v>
      </c>
      <c r="F57" s="21" t="s">
        <v>17</v>
      </c>
      <c r="G57" s="21" t="s">
        <v>17</v>
      </c>
      <c r="H57" s="21" t="s">
        <v>17</v>
      </c>
      <c r="I57" s="21" t="s">
        <v>17</v>
      </c>
      <c r="J57" s="27">
        <v>3.1E-2</v>
      </c>
      <c r="K57" s="23"/>
      <c r="L57" s="24">
        <f>K57*D57</f>
        <v>0</v>
      </c>
      <c r="M57" s="25">
        <f t="shared" si="2"/>
        <v>0</v>
      </c>
      <c r="N57" s="162">
        <v>0.05</v>
      </c>
      <c r="O57" s="146">
        <f>Table3[[#This Row],[Order Quantity (Pkts)]]*Table3[[#This Row],[Column1]]</f>
        <v>0</v>
      </c>
    </row>
    <row r="58" spans="1:15" s="26" customFormat="1" ht="14.25" customHeight="1" x14ac:dyDescent="0.25">
      <c r="A58" s="19">
        <v>53</v>
      </c>
      <c r="B58" s="20" t="s">
        <v>37</v>
      </c>
      <c r="C58" s="32" t="s">
        <v>21</v>
      </c>
      <c r="D58" s="33">
        <v>250</v>
      </c>
      <c r="E58" s="21" t="s">
        <v>17</v>
      </c>
      <c r="F58" s="21" t="s">
        <v>17</v>
      </c>
      <c r="G58" s="21" t="s">
        <v>17</v>
      </c>
      <c r="H58" s="21" t="s">
        <v>17</v>
      </c>
      <c r="I58" s="21" t="s">
        <v>17</v>
      </c>
      <c r="J58" s="27">
        <v>3.1E-2</v>
      </c>
      <c r="K58" s="23"/>
      <c r="L58" s="24">
        <f>K58*D58</f>
        <v>0</v>
      </c>
      <c r="M58" s="25">
        <f t="shared" si="2"/>
        <v>0</v>
      </c>
      <c r="N58" s="162">
        <v>0.05</v>
      </c>
      <c r="O58" s="145">
        <f>Table3[[#This Row],[Order Quantity (Pkts)]]*Table3[[#This Row],[Column1]]</f>
        <v>0</v>
      </c>
    </row>
    <row r="59" spans="1:15" s="26" customFormat="1" ht="14.25" customHeight="1" x14ac:dyDescent="0.25">
      <c r="A59" s="19">
        <v>54</v>
      </c>
      <c r="B59" s="20" t="s">
        <v>38</v>
      </c>
      <c r="C59" s="32" t="s">
        <v>27</v>
      </c>
      <c r="D59" s="21" t="s">
        <v>17</v>
      </c>
      <c r="E59" s="29">
        <v>220</v>
      </c>
      <c r="F59" s="21" t="s">
        <v>17</v>
      </c>
      <c r="G59" s="21" t="s">
        <v>17</v>
      </c>
      <c r="H59" s="21" t="s">
        <v>17</v>
      </c>
      <c r="I59" s="21" t="s">
        <v>17</v>
      </c>
      <c r="J59" s="27">
        <v>3.1E-2</v>
      </c>
      <c r="K59" s="23"/>
      <c r="L59" s="24">
        <f>K59*Table3[[#This Row],[Unprinted Pouch]]</f>
        <v>0</v>
      </c>
      <c r="M59" s="25">
        <f t="shared" si="2"/>
        <v>0</v>
      </c>
      <c r="N59" s="162">
        <v>2.5000000000000001E-2</v>
      </c>
      <c r="O59" s="146">
        <f>Table3[[#This Row],[Order Quantity (Pkts)]]*Table3[[#This Row],[Column1]]</f>
        <v>0</v>
      </c>
    </row>
    <row r="60" spans="1:15" s="26" customFormat="1" ht="14.25" customHeight="1" x14ac:dyDescent="0.25">
      <c r="A60" s="19">
        <v>55</v>
      </c>
      <c r="B60" s="20" t="s">
        <v>38</v>
      </c>
      <c r="C60" s="32" t="s">
        <v>21</v>
      </c>
      <c r="D60" s="21" t="s">
        <v>17</v>
      </c>
      <c r="E60" s="29">
        <v>144</v>
      </c>
      <c r="F60" s="21" t="s">
        <v>17</v>
      </c>
      <c r="G60" s="21" t="s">
        <v>17</v>
      </c>
      <c r="H60" s="21" t="s">
        <v>17</v>
      </c>
      <c r="I60" s="21" t="s">
        <v>17</v>
      </c>
      <c r="J60" s="27">
        <v>3.1E-2</v>
      </c>
      <c r="K60" s="23"/>
      <c r="L60" s="24">
        <f>K60*Table3[[#This Row],[Unprinted Pouch]]</f>
        <v>0</v>
      </c>
      <c r="M60" s="25">
        <f t="shared" si="2"/>
        <v>0</v>
      </c>
      <c r="N60" s="162">
        <v>0.05</v>
      </c>
      <c r="O60" s="146">
        <f>Table3[[#This Row],[Order Quantity (Pkts)]]*Table3[[#This Row],[Column1]]</f>
        <v>0</v>
      </c>
    </row>
    <row r="61" spans="1:15" s="26" customFormat="1" ht="14.25" customHeight="1" x14ac:dyDescent="0.25">
      <c r="A61" s="19">
        <v>56</v>
      </c>
      <c r="B61" s="20" t="s">
        <v>39</v>
      </c>
      <c r="C61" s="32" t="s">
        <v>40</v>
      </c>
      <c r="D61" s="21" t="s">
        <v>17</v>
      </c>
      <c r="E61" s="21" t="s">
        <v>17</v>
      </c>
      <c r="F61" s="38">
        <v>42</v>
      </c>
      <c r="G61" s="21" t="s">
        <v>17</v>
      </c>
      <c r="H61" s="21" t="s">
        <v>17</v>
      </c>
      <c r="I61" s="21" t="s">
        <v>17</v>
      </c>
      <c r="J61" s="27">
        <v>3.1E-2</v>
      </c>
      <c r="K61" s="23"/>
      <c r="L61" s="24">
        <f>K61*F61</f>
        <v>0</v>
      </c>
      <c r="M61" s="25">
        <f t="shared" si="2"/>
        <v>0</v>
      </c>
      <c r="N61" s="162">
        <v>0.08</v>
      </c>
      <c r="O61" s="146">
        <f>Table3[[#This Row],[Order Quantity (Pkts)]]*Table3[[#This Row],[Column1]]</f>
        <v>0</v>
      </c>
    </row>
    <row r="62" spans="1:15" s="26" customFormat="1" ht="14.25" customHeight="1" x14ac:dyDescent="0.25">
      <c r="A62" s="19">
        <v>57</v>
      </c>
      <c r="B62" s="20" t="s">
        <v>39</v>
      </c>
      <c r="C62" s="32" t="s">
        <v>40</v>
      </c>
      <c r="D62" s="21" t="s">
        <v>17</v>
      </c>
      <c r="E62" s="29">
        <v>60</v>
      </c>
      <c r="F62" s="21" t="s">
        <v>17</v>
      </c>
      <c r="G62" s="21" t="s">
        <v>17</v>
      </c>
      <c r="H62" s="21" t="s">
        <v>17</v>
      </c>
      <c r="I62" s="21" t="s">
        <v>17</v>
      </c>
      <c r="J62" s="27">
        <v>3.1E-2</v>
      </c>
      <c r="K62" s="23"/>
      <c r="L62" s="24">
        <f>K62*Table3[[#This Row],[Unprinted Pouch]]</f>
        <v>0</v>
      </c>
      <c r="M62" s="25">
        <f t="shared" si="2"/>
        <v>0</v>
      </c>
      <c r="N62" s="162">
        <v>0.08</v>
      </c>
      <c r="O62" s="146">
        <f>Table3[[#This Row],[Order Quantity (Pkts)]]*Table3[[#This Row],[Column1]]</f>
        <v>0</v>
      </c>
    </row>
    <row r="63" spans="1:15" x14ac:dyDescent="0.25">
      <c r="A63" s="19">
        <v>58</v>
      </c>
      <c r="B63" s="20" t="s">
        <v>39</v>
      </c>
      <c r="C63" s="32" t="s">
        <v>41</v>
      </c>
      <c r="D63" s="40" t="s">
        <v>17</v>
      </c>
      <c r="E63" s="40" t="s">
        <v>17</v>
      </c>
      <c r="F63" s="40" t="s">
        <v>17</v>
      </c>
      <c r="G63" s="40" t="s">
        <v>17</v>
      </c>
      <c r="H63" s="41">
        <v>84</v>
      </c>
      <c r="I63" s="40" t="s">
        <v>17</v>
      </c>
      <c r="J63" s="27">
        <v>3.1E-2</v>
      </c>
      <c r="K63" s="23"/>
      <c r="L63" s="24">
        <f>K63*H63</f>
        <v>0</v>
      </c>
      <c r="M63" s="25">
        <f t="shared" si="2"/>
        <v>0</v>
      </c>
      <c r="N63" s="145">
        <v>0.06</v>
      </c>
      <c r="O63" s="146">
        <f>Table3[[#This Row],[Order Quantity (Pkts)]]*Table3[[#This Row],[Column1]]</f>
        <v>0</v>
      </c>
    </row>
    <row r="64" spans="1:15" s="26" customFormat="1" ht="14.25" customHeight="1" x14ac:dyDescent="0.25">
      <c r="A64" s="19">
        <v>59</v>
      </c>
      <c r="B64" s="42" t="s">
        <v>39</v>
      </c>
      <c r="C64" s="43" t="s">
        <v>21</v>
      </c>
      <c r="D64" s="21" t="s">
        <v>17</v>
      </c>
      <c r="E64" s="173">
        <v>100</v>
      </c>
      <c r="F64" s="21" t="s">
        <v>17</v>
      </c>
      <c r="G64" s="23"/>
      <c r="H64" s="23"/>
      <c r="I64" s="44"/>
      <c r="J64" s="27">
        <v>3.1E-2</v>
      </c>
      <c r="K64" s="23"/>
      <c r="L64" s="24">
        <f>K64*Table3[[#This Row],[Unprinted Pouch]]</f>
        <v>0</v>
      </c>
      <c r="M64" s="25">
        <f t="shared" si="2"/>
        <v>0</v>
      </c>
      <c r="N64" s="162">
        <v>0.05</v>
      </c>
      <c r="O64" s="146">
        <f>Table3[[#This Row],[Order Quantity (Pkts)]]*Table3[[#This Row],[Column1]]</f>
        <v>0</v>
      </c>
    </row>
    <row r="65" spans="1:15" s="26" customFormat="1" ht="14.25" customHeight="1" x14ac:dyDescent="0.25">
      <c r="A65" s="19">
        <v>60</v>
      </c>
      <c r="B65" s="42" t="s">
        <v>39</v>
      </c>
      <c r="C65" s="43" t="s">
        <v>21</v>
      </c>
      <c r="D65" s="21"/>
      <c r="E65" s="23"/>
      <c r="F65" s="37">
        <v>60</v>
      </c>
      <c r="G65" s="23"/>
      <c r="H65" s="23"/>
      <c r="I65" s="44"/>
      <c r="J65" s="27">
        <v>3.1E-2</v>
      </c>
      <c r="K65" s="23"/>
      <c r="L65" s="24">
        <f>K65*Table3[[#This Row],[Standup pouch]]</f>
        <v>0</v>
      </c>
      <c r="M65" s="25">
        <f t="shared" si="2"/>
        <v>0</v>
      </c>
      <c r="N65" s="162">
        <v>0.05</v>
      </c>
      <c r="O65" s="146">
        <f>Table3[[#This Row],[Order Quantity (Pkts)]]*Table3[[#This Row],[Column1]]</f>
        <v>0</v>
      </c>
    </row>
    <row r="66" spans="1:15" s="26" customFormat="1" ht="14.25" customHeight="1" x14ac:dyDescent="0.25">
      <c r="A66" s="19">
        <v>61</v>
      </c>
      <c r="B66" s="20" t="s">
        <v>42</v>
      </c>
      <c r="C66" s="32" t="s">
        <v>21</v>
      </c>
      <c r="D66" s="21" t="s">
        <v>17</v>
      </c>
      <c r="E66" s="45"/>
      <c r="F66" s="38">
        <v>135</v>
      </c>
      <c r="G66" s="21" t="s">
        <v>17</v>
      </c>
      <c r="H66" s="21" t="s">
        <v>17</v>
      </c>
      <c r="I66" s="21" t="s">
        <v>17</v>
      </c>
      <c r="J66" s="27">
        <v>3.1E-2</v>
      </c>
      <c r="K66" s="23"/>
      <c r="L66" s="24">
        <f>K66*Table3[[#This Row],[Standup pouch]]</f>
        <v>0</v>
      </c>
      <c r="M66" s="25">
        <f>K66*J66</f>
        <v>0</v>
      </c>
      <c r="N66" s="162">
        <v>0.05</v>
      </c>
      <c r="O66" s="146">
        <f>Table3[[#This Row],[Order Quantity (Pkts)]]*Table3[[#This Row],[Column1]]</f>
        <v>0</v>
      </c>
    </row>
    <row r="67" spans="1:15" s="26" customFormat="1" ht="14.25" customHeight="1" x14ac:dyDescent="0.25">
      <c r="A67" s="19">
        <v>62</v>
      </c>
      <c r="B67" s="20" t="s">
        <v>162</v>
      </c>
      <c r="C67" s="32" t="s">
        <v>97</v>
      </c>
      <c r="D67" s="71"/>
      <c r="E67" s="136"/>
      <c r="F67" s="135"/>
      <c r="G67" s="135"/>
      <c r="H67" s="35"/>
      <c r="I67" s="135"/>
      <c r="J67" s="27">
        <v>3.1E-2</v>
      </c>
      <c r="K67" s="23"/>
      <c r="L67" s="24">
        <f>Table3[[#This Row],[BOX Quantity]]*Table3[[#This Row],[Unprinted Pouch]]</f>
        <v>0</v>
      </c>
      <c r="M67" s="114">
        <f>K67*J67</f>
        <v>0</v>
      </c>
      <c r="N67" s="162">
        <v>0.02</v>
      </c>
      <c r="O67" s="146">
        <f>Table3[[#This Row],[Order Quantity (Pkts)]]*Table3[[#This Row],[Column1]]</f>
        <v>0</v>
      </c>
    </row>
    <row r="68" spans="1:15" s="26" customFormat="1" ht="14.25" customHeight="1" x14ac:dyDescent="0.25">
      <c r="A68" s="19">
        <v>63</v>
      </c>
      <c r="B68" s="20" t="s">
        <v>162</v>
      </c>
      <c r="C68" s="32" t="s">
        <v>21</v>
      </c>
      <c r="D68" s="135"/>
      <c r="E68" s="136"/>
      <c r="F68" s="135"/>
      <c r="G68" s="135"/>
      <c r="H68" s="35"/>
      <c r="I68" s="135"/>
      <c r="J68" s="27">
        <v>3.1E-2</v>
      </c>
      <c r="K68" s="23"/>
      <c r="L68" s="24">
        <f>Table3[[#This Row],[BOX Quantity]]*Table3[[#This Row],[Unprinted Pouch]]</f>
        <v>0</v>
      </c>
      <c r="M68" s="114">
        <f>K68*J68</f>
        <v>0</v>
      </c>
      <c r="N68" s="162">
        <v>0.05</v>
      </c>
      <c r="O68" s="146">
        <f>Table3[[#This Row],[Order Quantity (Pkts)]]*Table3[[#This Row],[Column1]]</f>
        <v>0</v>
      </c>
    </row>
    <row r="69" spans="1:15" s="26" customFormat="1" ht="16.5" customHeight="1" x14ac:dyDescent="0.25">
      <c r="A69" s="134"/>
      <c r="B69" s="47" t="s">
        <v>43</v>
      </c>
      <c r="C69" s="48"/>
      <c r="D69" s="48"/>
      <c r="E69" s="48"/>
      <c r="F69" s="48"/>
      <c r="G69" s="48"/>
      <c r="H69" s="48"/>
      <c r="I69" s="48"/>
      <c r="J69" s="49"/>
      <c r="K69" s="49"/>
      <c r="L69" s="49"/>
      <c r="M69" s="49"/>
      <c r="N69" s="147"/>
      <c r="O69" s="147"/>
    </row>
    <row r="70" spans="1:15" s="26" customFormat="1" ht="14.25" customHeight="1" x14ac:dyDescent="0.25">
      <c r="A70" s="19">
        <v>64</v>
      </c>
      <c r="B70" s="20" t="s">
        <v>44</v>
      </c>
      <c r="C70" s="32" t="s">
        <v>21</v>
      </c>
      <c r="D70" s="51">
        <v>132</v>
      </c>
      <c r="E70" s="40" t="s">
        <v>17</v>
      </c>
      <c r="F70" s="40" t="s">
        <v>17</v>
      </c>
      <c r="G70" s="40" t="s">
        <v>17</v>
      </c>
      <c r="H70" s="40" t="s">
        <v>17</v>
      </c>
      <c r="I70" s="40" t="s">
        <v>17</v>
      </c>
      <c r="J70" s="27">
        <v>3.1E-2</v>
      </c>
      <c r="K70" s="23"/>
      <c r="L70" s="24">
        <f>K70*D70</f>
        <v>0</v>
      </c>
      <c r="M70" s="25">
        <f t="shared" ref="M70:M99" si="3">K70*J70</f>
        <v>0</v>
      </c>
      <c r="N70" s="162">
        <v>0.05</v>
      </c>
      <c r="O70" s="146">
        <f>Table3[[#This Row],[Order Quantity (Pkts)]]*Table3[[#This Row],[Column1]]</f>
        <v>0</v>
      </c>
    </row>
    <row r="71" spans="1:15" s="26" customFormat="1" ht="14.25" customHeight="1" x14ac:dyDescent="0.25">
      <c r="A71" s="19">
        <v>65</v>
      </c>
      <c r="B71" s="20" t="s">
        <v>44</v>
      </c>
      <c r="C71" s="32" t="s">
        <v>16</v>
      </c>
      <c r="D71" s="52">
        <v>80</v>
      </c>
      <c r="E71" s="40" t="s">
        <v>17</v>
      </c>
      <c r="F71" s="40" t="s">
        <v>17</v>
      </c>
      <c r="G71" s="40" t="s">
        <v>17</v>
      </c>
      <c r="H71" s="40" t="s">
        <v>17</v>
      </c>
      <c r="I71" s="40" t="s">
        <v>17</v>
      </c>
      <c r="J71" s="27">
        <v>3.1E-2</v>
      </c>
      <c r="K71" s="23"/>
      <c r="L71" s="24">
        <f>K71*D71</f>
        <v>0</v>
      </c>
      <c r="M71" s="25">
        <f t="shared" si="3"/>
        <v>0</v>
      </c>
      <c r="N71" s="162">
        <v>0.1</v>
      </c>
      <c r="O71" s="146">
        <f>Table3[[#This Row],[Order Quantity (Pkts)]]*Table3[[#This Row],[Column1]]</f>
        <v>0</v>
      </c>
    </row>
    <row r="72" spans="1:15" s="26" customFormat="1" ht="14.25" customHeight="1" x14ac:dyDescent="0.25">
      <c r="A72" s="19">
        <v>66</v>
      </c>
      <c r="B72" s="20" t="s">
        <v>44</v>
      </c>
      <c r="C72" s="32" t="s">
        <v>45</v>
      </c>
      <c r="D72" s="52">
        <v>50</v>
      </c>
      <c r="E72" s="40" t="s">
        <v>17</v>
      </c>
      <c r="F72" s="40" t="s">
        <v>17</v>
      </c>
      <c r="G72" s="40" t="s">
        <v>17</v>
      </c>
      <c r="H72" s="40" t="s">
        <v>17</v>
      </c>
      <c r="I72" s="40" t="s">
        <v>17</v>
      </c>
      <c r="J72" s="27">
        <v>3.1E-2</v>
      </c>
      <c r="K72" s="23"/>
      <c r="L72" s="24">
        <f>K72*D72</f>
        <v>0</v>
      </c>
      <c r="M72" s="25">
        <f t="shared" si="3"/>
        <v>0</v>
      </c>
      <c r="N72" s="162">
        <v>0.25</v>
      </c>
      <c r="O72" s="145">
        <f>Table3[[#This Row],[Order Quantity (Pkts)]]*Table3[[#This Row],[Column1]]</f>
        <v>0</v>
      </c>
    </row>
    <row r="73" spans="1:15" s="26" customFormat="1" ht="14.25" customHeight="1" x14ac:dyDescent="0.25">
      <c r="A73" s="19">
        <v>67</v>
      </c>
      <c r="B73" s="20" t="s">
        <v>44</v>
      </c>
      <c r="C73" s="32" t="s">
        <v>18</v>
      </c>
      <c r="D73" s="40" t="s">
        <v>17</v>
      </c>
      <c r="E73" s="52">
        <v>42</v>
      </c>
      <c r="F73" s="40" t="s">
        <v>17</v>
      </c>
      <c r="G73" s="40" t="s">
        <v>17</v>
      </c>
      <c r="H73" s="40" t="s">
        <v>17</v>
      </c>
      <c r="I73" s="40" t="s">
        <v>17</v>
      </c>
      <c r="J73" s="27">
        <v>3.1E-2</v>
      </c>
      <c r="K73" s="23"/>
      <c r="L73" s="24">
        <f>K73*Table3[[#This Row],[Unprinted Pouch]]</f>
        <v>0</v>
      </c>
      <c r="M73" s="25">
        <f t="shared" si="3"/>
        <v>0</v>
      </c>
      <c r="N73" s="162">
        <v>0.25</v>
      </c>
      <c r="O73" s="146">
        <f>Table3[[#This Row],[Order Quantity (Pkts)]]*Table3[[#This Row],[Column1]]</f>
        <v>0</v>
      </c>
    </row>
    <row r="74" spans="1:15" s="26" customFormat="1" ht="14.25" customHeight="1" x14ac:dyDescent="0.25">
      <c r="A74" s="19">
        <v>68</v>
      </c>
      <c r="B74" s="20" t="s">
        <v>44</v>
      </c>
      <c r="C74" s="32" t="s">
        <v>18</v>
      </c>
      <c r="D74" s="140">
        <v>42</v>
      </c>
      <c r="E74" s="71"/>
      <c r="F74" s="71"/>
      <c r="G74" s="71"/>
      <c r="H74" s="103"/>
      <c r="I74" s="71"/>
      <c r="J74" s="27"/>
      <c r="K74" s="23"/>
      <c r="L74" s="24">
        <f>K74*Table3[[#This Row],[Printed Pouch]]</f>
        <v>0</v>
      </c>
      <c r="M74" s="114">
        <f>K74*J74</f>
        <v>0</v>
      </c>
      <c r="N74" s="162">
        <v>0.25</v>
      </c>
      <c r="O74" s="146">
        <f>Table3[[#This Row],[Order Quantity (Pkts)]]*Table3[[#This Row],[Column1]]</f>
        <v>0</v>
      </c>
    </row>
    <row r="75" spans="1:15" s="26" customFormat="1" ht="14.25" customHeight="1" x14ac:dyDescent="0.25">
      <c r="A75" s="19">
        <v>69</v>
      </c>
      <c r="B75" s="20" t="s">
        <v>44</v>
      </c>
      <c r="C75" s="32" t="s">
        <v>22</v>
      </c>
      <c r="D75" s="52">
        <v>24</v>
      </c>
      <c r="E75" s="40" t="s">
        <v>17</v>
      </c>
      <c r="F75" s="40" t="s">
        <v>17</v>
      </c>
      <c r="G75" s="40" t="s">
        <v>17</v>
      </c>
      <c r="H75" s="40" t="s">
        <v>17</v>
      </c>
      <c r="I75" s="40" t="s">
        <v>17</v>
      </c>
      <c r="J75" s="27">
        <v>3.1E-2</v>
      </c>
      <c r="K75" s="23"/>
      <c r="L75" s="24">
        <f>K75*D75</f>
        <v>0</v>
      </c>
      <c r="M75" s="25">
        <f t="shared" si="3"/>
        <v>0</v>
      </c>
      <c r="N75" s="162">
        <v>0.5</v>
      </c>
      <c r="O75" s="146">
        <f>Table3[[#This Row],[Order Quantity (Pkts)]]*Table3[[#This Row],[Column1]]</f>
        <v>0</v>
      </c>
    </row>
    <row r="76" spans="1:15" s="26" customFormat="1" ht="14.25" customHeight="1" x14ac:dyDescent="0.25">
      <c r="A76" s="19">
        <v>70</v>
      </c>
      <c r="B76" s="20" t="s">
        <v>44</v>
      </c>
      <c r="C76" s="32" t="s">
        <v>22</v>
      </c>
      <c r="D76" s="40" t="s">
        <v>17</v>
      </c>
      <c r="E76" s="52">
        <v>24</v>
      </c>
      <c r="F76" s="40" t="s">
        <v>17</v>
      </c>
      <c r="G76" s="40" t="s">
        <v>17</v>
      </c>
      <c r="H76" s="40" t="s">
        <v>17</v>
      </c>
      <c r="I76" s="40" t="s">
        <v>17</v>
      </c>
      <c r="J76" s="27">
        <v>3.1E-2</v>
      </c>
      <c r="K76" s="23"/>
      <c r="L76" s="24">
        <f>K76*Table3[[#This Row],[Unprinted Pouch]]</f>
        <v>0</v>
      </c>
      <c r="M76" s="25">
        <f t="shared" si="3"/>
        <v>0</v>
      </c>
      <c r="N76" s="162">
        <v>0.5</v>
      </c>
      <c r="O76" s="146">
        <f>Table3[[#This Row],[Order Quantity (Pkts)]]*Table3[[#This Row],[Column1]]</f>
        <v>0</v>
      </c>
    </row>
    <row r="77" spans="1:15" s="26" customFormat="1" ht="14.25" customHeight="1" x14ac:dyDescent="0.25">
      <c r="A77" s="19">
        <v>71</v>
      </c>
      <c r="B77" s="20" t="s">
        <v>44</v>
      </c>
      <c r="C77" s="32" t="s">
        <v>23</v>
      </c>
      <c r="D77" s="52">
        <v>10</v>
      </c>
      <c r="E77" s="40" t="s">
        <v>17</v>
      </c>
      <c r="F77" s="40" t="s">
        <v>17</v>
      </c>
      <c r="G77" s="40" t="s">
        <v>17</v>
      </c>
      <c r="H77" s="40" t="s">
        <v>17</v>
      </c>
      <c r="I77" s="40" t="s">
        <v>17</v>
      </c>
      <c r="J77" s="27">
        <v>3.1E-2</v>
      </c>
      <c r="K77" s="23"/>
      <c r="L77" s="24">
        <f>K77*D77</f>
        <v>0</v>
      </c>
      <c r="M77" s="25">
        <f t="shared" si="3"/>
        <v>0</v>
      </c>
      <c r="N77" s="162">
        <v>1</v>
      </c>
      <c r="O77" s="146">
        <f>Table3[[#This Row],[Order Quantity (Pkts)]]*Table3[[#This Row],[Column1]]</f>
        <v>0</v>
      </c>
    </row>
    <row r="78" spans="1:15" s="26" customFormat="1" ht="14.25" customHeight="1" x14ac:dyDescent="0.25">
      <c r="A78" s="19">
        <v>72</v>
      </c>
      <c r="B78" s="20" t="s">
        <v>46</v>
      </c>
      <c r="C78" s="32" t="s">
        <v>21</v>
      </c>
      <c r="D78" s="51">
        <v>150</v>
      </c>
      <c r="E78" s="40" t="s">
        <v>17</v>
      </c>
      <c r="F78" s="40" t="s">
        <v>17</v>
      </c>
      <c r="G78" s="40" t="s">
        <v>17</v>
      </c>
      <c r="H78" s="40" t="s">
        <v>17</v>
      </c>
      <c r="I78" s="40" t="s">
        <v>17</v>
      </c>
      <c r="J78" s="27">
        <v>3.1E-2</v>
      </c>
      <c r="K78" s="23"/>
      <c r="L78" s="24">
        <f>K78*D78</f>
        <v>0</v>
      </c>
      <c r="M78" s="25">
        <f t="shared" si="3"/>
        <v>0</v>
      </c>
      <c r="N78" s="162">
        <v>0.05</v>
      </c>
      <c r="O78" s="146">
        <f>Table3[[#This Row],[Order Quantity (Pkts)]]*Table3[[#This Row],[Column1]]</f>
        <v>0</v>
      </c>
    </row>
    <row r="79" spans="1:15" s="26" customFormat="1" ht="14.25" customHeight="1" x14ac:dyDescent="0.25">
      <c r="A79" s="19">
        <v>73</v>
      </c>
      <c r="B79" s="20" t="s">
        <v>46</v>
      </c>
      <c r="C79" s="32" t="s">
        <v>16</v>
      </c>
      <c r="D79" s="51">
        <v>80</v>
      </c>
      <c r="E79" s="40" t="s">
        <v>17</v>
      </c>
      <c r="F79" s="40" t="s">
        <v>17</v>
      </c>
      <c r="G79" s="40" t="s">
        <v>17</v>
      </c>
      <c r="H79" s="40" t="s">
        <v>17</v>
      </c>
      <c r="I79" s="40" t="s">
        <v>17</v>
      </c>
      <c r="J79" s="27">
        <v>3.1E-2</v>
      </c>
      <c r="K79" s="23"/>
      <c r="L79" s="24">
        <f>K79*D79</f>
        <v>0</v>
      </c>
      <c r="M79" s="25">
        <f t="shared" si="3"/>
        <v>0</v>
      </c>
      <c r="N79" s="162">
        <v>0.1</v>
      </c>
      <c r="O79" s="146">
        <f>Table3[[#This Row],[Order Quantity (Pkts)]]*Table3[[#This Row],[Column1]]</f>
        <v>0</v>
      </c>
    </row>
    <row r="80" spans="1:15" s="26" customFormat="1" ht="14.25" customHeight="1" x14ac:dyDescent="0.25">
      <c r="A80" s="19">
        <v>74</v>
      </c>
      <c r="B80" s="20" t="s">
        <v>46</v>
      </c>
      <c r="C80" s="32" t="s">
        <v>18</v>
      </c>
      <c r="D80" s="51">
        <v>42</v>
      </c>
      <c r="E80" s="40" t="s">
        <v>17</v>
      </c>
      <c r="F80" s="40" t="s">
        <v>17</v>
      </c>
      <c r="G80" s="40" t="s">
        <v>17</v>
      </c>
      <c r="H80" s="40" t="s">
        <v>17</v>
      </c>
      <c r="I80" s="40" t="s">
        <v>17</v>
      </c>
      <c r="J80" s="27">
        <v>3.1E-2</v>
      </c>
      <c r="K80" s="23"/>
      <c r="L80" s="24">
        <f>K80*D80</f>
        <v>0</v>
      </c>
      <c r="M80" s="25">
        <f t="shared" si="3"/>
        <v>0</v>
      </c>
      <c r="N80" s="162">
        <v>0.25</v>
      </c>
      <c r="O80" s="146">
        <f>Table3[[#This Row],[Order Quantity (Pkts)]]*Table3[[#This Row],[Column1]]</f>
        <v>0</v>
      </c>
    </row>
    <row r="81" spans="1:15" s="26" customFormat="1" ht="14.25" customHeight="1" x14ac:dyDescent="0.25">
      <c r="A81" s="19">
        <v>75</v>
      </c>
      <c r="B81" s="20" t="s">
        <v>46</v>
      </c>
      <c r="C81" s="32" t="s">
        <v>22</v>
      </c>
      <c r="D81" s="51">
        <v>24</v>
      </c>
      <c r="E81" s="40" t="s">
        <v>17</v>
      </c>
      <c r="F81" s="40" t="s">
        <v>17</v>
      </c>
      <c r="G81" s="40" t="s">
        <v>17</v>
      </c>
      <c r="H81" s="40" t="s">
        <v>17</v>
      </c>
      <c r="I81" s="40" t="s">
        <v>17</v>
      </c>
      <c r="J81" s="27">
        <v>3.1E-2</v>
      </c>
      <c r="K81" s="23"/>
      <c r="L81" s="24">
        <f>K81*D81</f>
        <v>0</v>
      </c>
      <c r="M81" s="25">
        <f t="shared" si="3"/>
        <v>0</v>
      </c>
      <c r="N81" s="162">
        <v>0.5</v>
      </c>
      <c r="O81" s="146">
        <f>Table3[[#This Row],[Order Quantity (Pkts)]]*Table3[[#This Row],[Column1]]</f>
        <v>0</v>
      </c>
    </row>
    <row r="82" spans="1:15" s="26" customFormat="1" ht="14.25" customHeight="1" x14ac:dyDescent="0.25">
      <c r="A82" s="19">
        <v>76</v>
      </c>
      <c r="B82" s="20" t="s">
        <v>46</v>
      </c>
      <c r="C82" s="32" t="s">
        <v>23</v>
      </c>
      <c r="D82" s="51">
        <v>10</v>
      </c>
      <c r="E82" s="40" t="s">
        <v>17</v>
      </c>
      <c r="F82" s="40" t="s">
        <v>17</v>
      </c>
      <c r="G82" s="40" t="s">
        <v>17</v>
      </c>
      <c r="H82" s="40" t="s">
        <v>17</v>
      </c>
      <c r="I82" s="40" t="s">
        <v>17</v>
      </c>
      <c r="J82" s="27">
        <v>3.1E-2</v>
      </c>
      <c r="K82" s="23"/>
      <c r="L82" s="24">
        <f>K82*D82</f>
        <v>0</v>
      </c>
      <c r="M82" s="25">
        <f t="shared" si="3"/>
        <v>0</v>
      </c>
      <c r="N82" s="162">
        <v>1</v>
      </c>
      <c r="O82" s="146">
        <f>Table3[[#This Row],[Order Quantity (Pkts)]]*Table3[[#This Row],[Column1]]</f>
        <v>0</v>
      </c>
    </row>
    <row r="83" spans="1:15" s="26" customFormat="1" ht="14.25" customHeight="1" x14ac:dyDescent="0.25">
      <c r="A83" s="19">
        <v>77</v>
      </c>
      <c r="B83" s="20" t="s">
        <v>47</v>
      </c>
      <c r="C83" s="32" t="s">
        <v>27</v>
      </c>
      <c r="D83" s="51">
        <v>240</v>
      </c>
      <c r="E83" s="40" t="s">
        <v>17</v>
      </c>
      <c r="F83" s="40" t="s">
        <v>17</v>
      </c>
      <c r="G83" s="40" t="s">
        <v>17</v>
      </c>
      <c r="H83" s="40" t="s">
        <v>17</v>
      </c>
      <c r="I83" s="40" t="s">
        <v>17</v>
      </c>
      <c r="J83" s="27">
        <v>3.1E-2</v>
      </c>
      <c r="K83" s="23"/>
      <c r="L83" s="24">
        <f>K83*D83</f>
        <v>0</v>
      </c>
      <c r="M83" s="25">
        <f t="shared" si="3"/>
        <v>0</v>
      </c>
      <c r="N83" s="162">
        <v>2.5000000000000001E-2</v>
      </c>
      <c r="O83" s="146">
        <f>Table3[[#This Row],[Order Quantity (Pkts)]]*Table3[[#This Row],[Column1]]</f>
        <v>0</v>
      </c>
    </row>
    <row r="84" spans="1:15" s="26" customFormat="1" ht="14.25" customHeight="1" x14ac:dyDescent="0.25">
      <c r="A84" s="19">
        <v>78</v>
      </c>
      <c r="B84" s="20" t="s">
        <v>47</v>
      </c>
      <c r="C84" s="32" t="s">
        <v>21</v>
      </c>
      <c r="D84" s="51">
        <v>150</v>
      </c>
      <c r="E84" s="40" t="s">
        <v>17</v>
      </c>
      <c r="F84" s="40" t="s">
        <v>17</v>
      </c>
      <c r="G84" s="40" t="s">
        <v>17</v>
      </c>
      <c r="H84" s="40" t="s">
        <v>17</v>
      </c>
      <c r="I84" s="40" t="s">
        <v>17</v>
      </c>
      <c r="J84" s="27">
        <v>3.1E-2</v>
      </c>
      <c r="K84" s="23"/>
      <c r="L84" s="24">
        <f>K84*D84</f>
        <v>0</v>
      </c>
      <c r="M84" s="25">
        <f t="shared" si="3"/>
        <v>0</v>
      </c>
      <c r="N84" s="162">
        <v>0.05</v>
      </c>
      <c r="O84" s="146">
        <f>Table3[[#This Row],[Order Quantity (Pkts)]]*Table3[[#This Row],[Column1]]</f>
        <v>0</v>
      </c>
    </row>
    <row r="85" spans="1:15" s="26" customFormat="1" ht="14.25" customHeight="1" x14ac:dyDescent="0.25">
      <c r="A85" s="19">
        <v>79</v>
      </c>
      <c r="B85" s="20" t="s">
        <v>47</v>
      </c>
      <c r="C85" s="32" t="s">
        <v>16</v>
      </c>
      <c r="D85" s="51">
        <v>80</v>
      </c>
      <c r="E85" s="40" t="s">
        <v>17</v>
      </c>
      <c r="F85" s="40" t="s">
        <v>17</v>
      </c>
      <c r="G85" s="40" t="s">
        <v>17</v>
      </c>
      <c r="H85" s="40" t="s">
        <v>17</v>
      </c>
      <c r="I85" s="40" t="s">
        <v>17</v>
      </c>
      <c r="J85" s="27">
        <v>3.1E-2</v>
      </c>
      <c r="K85" s="23"/>
      <c r="L85" s="24">
        <f>K85*D85</f>
        <v>0</v>
      </c>
      <c r="M85" s="25">
        <f t="shared" si="3"/>
        <v>0</v>
      </c>
      <c r="N85" s="162">
        <v>0.1</v>
      </c>
      <c r="O85" s="146">
        <f>Table3[[#This Row],[Order Quantity (Pkts)]]*Table3[[#This Row],[Column1]]</f>
        <v>0</v>
      </c>
    </row>
    <row r="86" spans="1:15" s="26" customFormat="1" ht="14.25" customHeight="1" x14ac:dyDescent="0.25">
      <c r="A86" s="19">
        <v>80</v>
      </c>
      <c r="B86" s="20" t="s">
        <v>47</v>
      </c>
      <c r="C86" s="32" t="s">
        <v>45</v>
      </c>
      <c r="D86" s="51">
        <v>50</v>
      </c>
      <c r="E86" s="40" t="s">
        <v>17</v>
      </c>
      <c r="F86" s="40" t="s">
        <v>17</v>
      </c>
      <c r="G86" s="40" t="s">
        <v>17</v>
      </c>
      <c r="H86" s="40" t="s">
        <v>17</v>
      </c>
      <c r="I86" s="40" t="s">
        <v>17</v>
      </c>
      <c r="J86" s="27">
        <v>3.1E-2</v>
      </c>
      <c r="K86" s="23"/>
      <c r="L86" s="24">
        <f>K86*D86</f>
        <v>0</v>
      </c>
      <c r="M86" s="25">
        <f t="shared" si="3"/>
        <v>0</v>
      </c>
      <c r="N86" s="162">
        <v>0.22500000000000001</v>
      </c>
      <c r="O86" s="146">
        <f>Table3[[#This Row],[Order Quantity (Pkts)]]*Table3[[#This Row],[Column1]]</f>
        <v>0</v>
      </c>
    </row>
    <row r="87" spans="1:15" s="26" customFormat="1" ht="14.25" customHeight="1" x14ac:dyDescent="0.25">
      <c r="A87" s="19">
        <v>81</v>
      </c>
      <c r="B87" s="20" t="s">
        <v>47</v>
      </c>
      <c r="C87" s="32" t="s">
        <v>18</v>
      </c>
      <c r="D87" s="51">
        <v>48</v>
      </c>
      <c r="E87" s="40" t="s">
        <v>17</v>
      </c>
      <c r="F87" s="40" t="s">
        <v>17</v>
      </c>
      <c r="G87" s="40" t="s">
        <v>17</v>
      </c>
      <c r="H87" s="40" t="s">
        <v>17</v>
      </c>
      <c r="I87" s="40" t="s">
        <v>17</v>
      </c>
      <c r="J87" s="27">
        <v>3.1E-2</v>
      </c>
      <c r="K87" s="23"/>
      <c r="L87" s="24">
        <f>K87*D87</f>
        <v>0</v>
      </c>
      <c r="M87" s="25">
        <f t="shared" si="3"/>
        <v>0</v>
      </c>
      <c r="N87" s="162">
        <v>0.25</v>
      </c>
      <c r="O87" s="146">
        <f>Table3[[#This Row],[Order Quantity (Pkts)]]*Table3[[#This Row],[Column1]]</f>
        <v>0</v>
      </c>
    </row>
    <row r="88" spans="1:15" s="26" customFormat="1" ht="14.25" customHeight="1" x14ac:dyDescent="0.25">
      <c r="A88" s="19">
        <v>82</v>
      </c>
      <c r="B88" s="20" t="s">
        <v>47</v>
      </c>
      <c r="C88" s="32" t="s">
        <v>22</v>
      </c>
      <c r="D88" s="51">
        <v>24</v>
      </c>
      <c r="E88" s="40" t="s">
        <v>17</v>
      </c>
      <c r="F88" s="40" t="s">
        <v>17</v>
      </c>
      <c r="G88" s="40" t="s">
        <v>17</v>
      </c>
      <c r="H88" s="40" t="s">
        <v>17</v>
      </c>
      <c r="I88" s="40" t="s">
        <v>17</v>
      </c>
      <c r="J88" s="27">
        <v>3.1E-2</v>
      </c>
      <c r="K88" s="23"/>
      <c r="L88" s="24">
        <f>K88*D88</f>
        <v>0</v>
      </c>
      <c r="M88" s="25">
        <f t="shared" si="3"/>
        <v>0</v>
      </c>
      <c r="N88" s="162">
        <v>0.5</v>
      </c>
      <c r="O88" s="146">
        <f>Table3[[#This Row],[Order Quantity (Pkts)]]*Table3[[#This Row],[Column1]]</f>
        <v>0</v>
      </c>
    </row>
    <row r="89" spans="1:15" s="26" customFormat="1" ht="14.25" customHeight="1" x14ac:dyDescent="0.25">
      <c r="A89" s="19">
        <v>83</v>
      </c>
      <c r="B89" s="20" t="s">
        <v>47</v>
      </c>
      <c r="C89" s="32" t="s">
        <v>23</v>
      </c>
      <c r="D89" s="51">
        <v>12</v>
      </c>
      <c r="E89" s="40" t="s">
        <v>17</v>
      </c>
      <c r="F89" s="40" t="s">
        <v>17</v>
      </c>
      <c r="G89" s="40" t="s">
        <v>17</v>
      </c>
      <c r="H89" s="40" t="s">
        <v>17</v>
      </c>
      <c r="I89" s="40" t="s">
        <v>17</v>
      </c>
      <c r="J89" s="27">
        <v>3.1E-2</v>
      </c>
      <c r="K89" s="23"/>
      <c r="L89" s="24">
        <f>K89*D89</f>
        <v>0</v>
      </c>
      <c r="M89" s="25">
        <f t="shared" si="3"/>
        <v>0</v>
      </c>
      <c r="N89" s="162">
        <v>1</v>
      </c>
      <c r="O89" s="146">
        <f>Table3[[#This Row],[Order Quantity (Pkts)]]*Table3[[#This Row],[Column1]]</f>
        <v>0</v>
      </c>
    </row>
    <row r="90" spans="1:15" s="26" customFormat="1" ht="14.25" customHeight="1" x14ac:dyDescent="0.25">
      <c r="A90" s="19">
        <v>84</v>
      </c>
      <c r="B90" s="20" t="s">
        <v>48</v>
      </c>
      <c r="C90" s="32" t="s">
        <v>21</v>
      </c>
      <c r="D90" s="51">
        <v>150</v>
      </c>
      <c r="E90" s="40" t="s">
        <v>17</v>
      </c>
      <c r="F90" s="40" t="s">
        <v>17</v>
      </c>
      <c r="G90" s="40" t="s">
        <v>17</v>
      </c>
      <c r="H90" s="40" t="s">
        <v>17</v>
      </c>
      <c r="I90" s="40" t="s">
        <v>17</v>
      </c>
      <c r="J90" s="27">
        <v>3.1E-2</v>
      </c>
      <c r="K90" s="23"/>
      <c r="L90" s="24">
        <f>K90*D90</f>
        <v>0</v>
      </c>
      <c r="M90" s="25">
        <f t="shared" si="3"/>
        <v>0</v>
      </c>
      <c r="N90" s="162">
        <v>0.05</v>
      </c>
      <c r="O90" s="146">
        <f>Table3[[#This Row],[Order Quantity (Pkts)]]*Table3[[#This Row],[Column1]]</f>
        <v>0</v>
      </c>
    </row>
    <row r="91" spans="1:15" s="26" customFormat="1" ht="14.25" customHeight="1" x14ac:dyDescent="0.25">
      <c r="A91" s="19">
        <v>85</v>
      </c>
      <c r="B91" s="20" t="s">
        <v>48</v>
      </c>
      <c r="C91" s="32" t="s">
        <v>18</v>
      </c>
      <c r="D91" s="71"/>
      <c r="E91" s="140">
        <v>42</v>
      </c>
      <c r="F91" s="71"/>
      <c r="G91" s="71"/>
      <c r="H91" s="103"/>
      <c r="I91" s="71"/>
      <c r="J91" s="27">
        <v>3.1E-2</v>
      </c>
      <c r="K91" s="23"/>
      <c r="L91" s="24">
        <f>K91*Table3[[#This Row],[Unprinted Pouch]]</f>
        <v>0</v>
      </c>
      <c r="M91" s="114">
        <f>K91*J91</f>
        <v>0</v>
      </c>
      <c r="N91" s="162">
        <v>0.25</v>
      </c>
      <c r="O91" s="146">
        <f>Table3[[#This Row],[Order Quantity (Pkts)]]*Table3[[#This Row],[Column1]]</f>
        <v>0</v>
      </c>
    </row>
    <row r="92" spans="1:15" s="26" customFormat="1" ht="14.25" customHeight="1" x14ac:dyDescent="0.25">
      <c r="A92" s="19">
        <v>86</v>
      </c>
      <c r="B92" s="20" t="s">
        <v>48</v>
      </c>
      <c r="C92" s="32" t="s">
        <v>22</v>
      </c>
      <c r="D92" s="101"/>
      <c r="E92" s="185">
        <v>24</v>
      </c>
      <c r="F92" s="40" t="s">
        <v>17</v>
      </c>
      <c r="G92" s="40" t="s">
        <v>17</v>
      </c>
      <c r="H92" s="40" t="s">
        <v>17</v>
      </c>
      <c r="I92" s="40" t="s">
        <v>17</v>
      </c>
      <c r="J92" s="27">
        <v>3.1E-2</v>
      </c>
      <c r="K92" s="23"/>
      <c r="L92" s="24">
        <f>K92*D92</f>
        <v>0</v>
      </c>
      <c r="M92" s="25">
        <f t="shared" si="3"/>
        <v>0</v>
      </c>
      <c r="N92" s="162">
        <v>0.5</v>
      </c>
      <c r="O92" s="146">
        <f>Table3[[#This Row],[Order Quantity (Pkts)]]*Table3[[#This Row],[Column1]]</f>
        <v>0</v>
      </c>
    </row>
    <row r="93" spans="1:15" s="26" customFormat="1" ht="14.25" customHeight="1" x14ac:dyDescent="0.25">
      <c r="A93" s="19">
        <v>87</v>
      </c>
      <c r="B93" s="20" t="s">
        <v>49</v>
      </c>
      <c r="C93" s="32" t="s">
        <v>50</v>
      </c>
      <c r="D93" s="53">
        <v>168</v>
      </c>
      <c r="E93" s="40" t="s">
        <v>17</v>
      </c>
      <c r="F93" s="40" t="s">
        <v>17</v>
      </c>
      <c r="G93" s="40" t="s">
        <v>17</v>
      </c>
      <c r="H93" s="40" t="s">
        <v>17</v>
      </c>
      <c r="I93" s="40" t="s">
        <v>17</v>
      </c>
      <c r="J93" s="27">
        <v>3.1E-2</v>
      </c>
      <c r="K93" s="23"/>
      <c r="L93" s="24">
        <f>K93*D93</f>
        <v>0</v>
      </c>
      <c r="M93" s="25">
        <f t="shared" si="3"/>
        <v>0</v>
      </c>
      <c r="N93" s="162">
        <v>3.5000000000000003E-2</v>
      </c>
      <c r="O93" s="146">
        <f>Table3[[#This Row],[Order Quantity (Pkts)]]*Table3[[#This Row],[Column1]]</f>
        <v>0</v>
      </c>
    </row>
    <row r="94" spans="1:15" s="26" customFormat="1" ht="14.25" customHeight="1" x14ac:dyDescent="0.25">
      <c r="A94" s="19">
        <v>88</v>
      </c>
      <c r="B94" s="20" t="s">
        <v>49</v>
      </c>
      <c r="C94" s="32" t="s">
        <v>16</v>
      </c>
      <c r="D94" s="40" t="s">
        <v>17</v>
      </c>
      <c r="E94" s="41">
        <v>120</v>
      </c>
      <c r="F94" s="40" t="s">
        <v>17</v>
      </c>
      <c r="G94" s="40" t="s">
        <v>17</v>
      </c>
      <c r="H94" s="40" t="s">
        <v>17</v>
      </c>
      <c r="I94" s="40" t="s">
        <v>17</v>
      </c>
      <c r="J94" s="27">
        <v>3.1E-2</v>
      </c>
      <c r="K94" s="23"/>
      <c r="L94" s="24">
        <f>K94*Table3[[#This Row],[Unprinted Pouch]]</f>
        <v>0</v>
      </c>
      <c r="M94" s="25">
        <f t="shared" si="3"/>
        <v>0</v>
      </c>
      <c r="N94" s="162">
        <v>0.1</v>
      </c>
      <c r="O94" s="146">
        <f>Table3[[#This Row],[Order Quantity (Pkts)]]*Table3[[#This Row],[Column1]]</f>
        <v>0</v>
      </c>
    </row>
    <row r="95" spans="1:15" s="26" customFormat="1" ht="14.25" customHeight="1" x14ac:dyDescent="0.25">
      <c r="A95" s="19">
        <v>89</v>
      </c>
      <c r="B95" s="20" t="s">
        <v>49</v>
      </c>
      <c r="C95" s="32" t="s">
        <v>18</v>
      </c>
      <c r="D95" s="40" t="s">
        <v>17</v>
      </c>
      <c r="E95" s="41">
        <v>54</v>
      </c>
      <c r="F95" s="40" t="s">
        <v>17</v>
      </c>
      <c r="G95" s="40" t="s">
        <v>17</v>
      </c>
      <c r="H95" s="40" t="s">
        <v>17</v>
      </c>
      <c r="I95" s="40" t="s">
        <v>17</v>
      </c>
      <c r="J95" s="27">
        <v>3.1E-2</v>
      </c>
      <c r="K95" s="23"/>
      <c r="L95" s="24">
        <f>K95*Table3[[#This Row],[Unprinted Pouch]]</f>
        <v>0</v>
      </c>
      <c r="M95" s="25">
        <f t="shared" si="3"/>
        <v>0</v>
      </c>
      <c r="N95" s="162">
        <v>0.25</v>
      </c>
      <c r="O95" s="145">
        <f>Table3[[#This Row],[Order Quantity (Pkts)]]*Table3[[#This Row],[Column1]]</f>
        <v>0</v>
      </c>
    </row>
    <row r="96" spans="1:15" s="26" customFormat="1" ht="14.25" customHeight="1" x14ac:dyDescent="0.25">
      <c r="A96" s="19">
        <v>90</v>
      </c>
      <c r="B96" s="175" t="s">
        <v>51</v>
      </c>
      <c r="C96" s="176" t="s">
        <v>16</v>
      </c>
      <c r="D96" s="185">
        <v>80</v>
      </c>
      <c r="E96" s="53"/>
      <c r="F96" s="71"/>
      <c r="G96" s="71"/>
      <c r="H96" s="88"/>
      <c r="I96" s="71"/>
      <c r="J96" s="27">
        <v>3.1E-2</v>
      </c>
      <c r="K96" s="23"/>
      <c r="L96" s="24">
        <f>K96*H96</f>
        <v>0</v>
      </c>
      <c r="M96" s="114">
        <f>K96*J96</f>
        <v>0</v>
      </c>
      <c r="N96" s="162"/>
      <c r="O96" s="145">
        <f>Table3[[#This Row],[Order Quantity (Pkts)]]*Table3[[#This Row],[Column1]]</f>
        <v>0</v>
      </c>
    </row>
    <row r="97" spans="1:15" s="26" customFormat="1" ht="14.25" customHeight="1" x14ac:dyDescent="0.25">
      <c r="A97" s="19">
        <v>91</v>
      </c>
      <c r="B97" s="54" t="s">
        <v>51</v>
      </c>
      <c r="C97" s="32" t="s">
        <v>18</v>
      </c>
      <c r="D97" s="40" t="s">
        <v>17</v>
      </c>
      <c r="E97" s="41">
        <v>42</v>
      </c>
      <c r="F97" s="40" t="s">
        <v>17</v>
      </c>
      <c r="G97" s="40" t="s">
        <v>17</v>
      </c>
      <c r="H97" s="40" t="s">
        <v>17</v>
      </c>
      <c r="I97" s="40" t="s">
        <v>17</v>
      </c>
      <c r="J97" s="27">
        <v>3.1E-2</v>
      </c>
      <c r="K97" s="23"/>
      <c r="L97" s="24">
        <f>K97*Table3[[#This Row],[Unprinted Pouch]]</f>
        <v>0</v>
      </c>
      <c r="M97" s="25">
        <f t="shared" si="3"/>
        <v>0</v>
      </c>
      <c r="N97" s="162">
        <v>0.25</v>
      </c>
      <c r="O97" s="146">
        <f>Table3[[#This Row],[Order Quantity (Pkts)]]*Table3[[#This Row],[Column1]]</f>
        <v>0</v>
      </c>
    </row>
    <row r="98" spans="1:15" s="26" customFormat="1" ht="14.25" customHeight="1" x14ac:dyDescent="0.25">
      <c r="A98" s="19">
        <v>92</v>
      </c>
      <c r="B98" s="20" t="s">
        <v>52</v>
      </c>
      <c r="C98" s="32" t="s">
        <v>16</v>
      </c>
      <c r="D98" s="40" t="s">
        <v>17</v>
      </c>
      <c r="E98" s="40" t="s">
        <v>17</v>
      </c>
      <c r="F98" s="40" t="s">
        <v>17</v>
      </c>
      <c r="G98" s="40" t="s">
        <v>17</v>
      </c>
      <c r="H98" s="40" t="s">
        <v>17</v>
      </c>
      <c r="I98" s="51">
        <v>72</v>
      </c>
      <c r="J98" s="27">
        <v>3.1E-2</v>
      </c>
      <c r="K98" s="23"/>
      <c r="L98" s="24">
        <f>K98*I98</f>
        <v>0</v>
      </c>
      <c r="M98" s="25">
        <f t="shared" si="3"/>
        <v>0</v>
      </c>
      <c r="N98" s="162">
        <v>0.1</v>
      </c>
      <c r="O98" s="146">
        <f>Table3[[#This Row],[Order Quantity (Pkts)]]*Table3[[#This Row],[Column1]]</f>
        <v>0</v>
      </c>
    </row>
    <row r="99" spans="1:15" s="26" customFormat="1" ht="14.25" customHeight="1" x14ac:dyDescent="0.25">
      <c r="A99" s="19">
        <v>93</v>
      </c>
      <c r="B99" s="20" t="s">
        <v>52</v>
      </c>
      <c r="C99" s="32" t="s">
        <v>22</v>
      </c>
      <c r="D99" s="40" t="s">
        <v>17</v>
      </c>
      <c r="E99" s="40" t="s">
        <v>17</v>
      </c>
      <c r="F99" s="40" t="s">
        <v>17</v>
      </c>
      <c r="G99" s="40" t="s">
        <v>17</v>
      </c>
      <c r="H99" s="40" t="s">
        <v>17</v>
      </c>
      <c r="I99" s="51">
        <v>12</v>
      </c>
      <c r="J99" s="27">
        <v>3.1E-2</v>
      </c>
      <c r="K99" s="23"/>
      <c r="L99" s="24">
        <f>K99*I99</f>
        <v>0</v>
      </c>
      <c r="M99" s="25">
        <f t="shared" si="3"/>
        <v>0</v>
      </c>
      <c r="N99" s="162">
        <v>0.5</v>
      </c>
      <c r="O99" s="146">
        <f>Table3[[#This Row],[Order Quantity (Pkts)]]*Table3[[#This Row],[Column1]]</f>
        <v>0</v>
      </c>
    </row>
    <row r="100" spans="1:15" s="26" customFormat="1" ht="14.25" customHeight="1" x14ac:dyDescent="0.25">
      <c r="A100" s="46"/>
      <c r="B100" s="55" t="s">
        <v>53</v>
      </c>
      <c r="C100" s="56"/>
      <c r="D100" s="56"/>
      <c r="E100" s="56"/>
      <c r="F100" s="56"/>
      <c r="G100" s="56"/>
      <c r="H100" s="56"/>
      <c r="I100" s="56"/>
      <c r="J100" s="57"/>
      <c r="K100" s="57"/>
      <c r="L100" s="57"/>
      <c r="M100" s="57"/>
      <c r="N100" s="148"/>
      <c r="O100" s="148"/>
    </row>
    <row r="101" spans="1:15" s="26" customFormat="1" ht="14.25" customHeight="1" x14ac:dyDescent="0.25">
      <c r="A101" s="50">
        <v>94</v>
      </c>
      <c r="B101" s="20" t="s">
        <v>54</v>
      </c>
      <c r="C101" s="32" t="s">
        <v>22</v>
      </c>
      <c r="D101" s="58">
        <v>30</v>
      </c>
      <c r="E101" s="40" t="s">
        <v>17</v>
      </c>
      <c r="F101" s="40" t="s">
        <v>17</v>
      </c>
      <c r="G101" s="40" t="s">
        <v>17</v>
      </c>
      <c r="H101" s="40" t="s">
        <v>17</v>
      </c>
      <c r="I101" s="40" t="s">
        <v>17</v>
      </c>
      <c r="J101" s="27">
        <v>3.1E-2</v>
      </c>
      <c r="K101" s="23"/>
      <c r="L101" s="24">
        <f>K101*D101</f>
        <v>0</v>
      </c>
      <c r="M101" s="25">
        <f t="shared" ref="M101:M115" si="4">K101*J101</f>
        <v>0</v>
      </c>
      <c r="N101" s="162">
        <v>0.5</v>
      </c>
      <c r="O101" s="145">
        <f>Table3[[#This Row],[Order Quantity (Pkts)]]*Table3[[#This Row],[Column1]]</f>
        <v>0</v>
      </c>
    </row>
    <row r="102" spans="1:15" s="26" customFormat="1" ht="14.25" customHeight="1" x14ac:dyDescent="0.25">
      <c r="A102" s="50">
        <v>95</v>
      </c>
      <c r="B102" s="20" t="s">
        <v>54</v>
      </c>
      <c r="C102" s="32" t="s">
        <v>23</v>
      </c>
      <c r="D102" s="59">
        <v>15</v>
      </c>
      <c r="E102" s="40" t="s">
        <v>17</v>
      </c>
      <c r="F102" s="40" t="s">
        <v>17</v>
      </c>
      <c r="G102" s="40" t="s">
        <v>17</v>
      </c>
      <c r="H102" s="40" t="s">
        <v>17</v>
      </c>
      <c r="I102" s="40" t="s">
        <v>17</v>
      </c>
      <c r="J102" s="27">
        <v>3.1E-2</v>
      </c>
      <c r="K102" s="23"/>
      <c r="L102" s="24">
        <f>K102*D102</f>
        <v>0</v>
      </c>
      <c r="M102" s="25">
        <f t="shared" si="4"/>
        <v>0</v>
      </c>
      <c r="N102" s="162">
        <v>1</v>
      </c>
      <c r="O102" s="145">
        <f>Table3[[#This Row],[Order Quantity (Pkts)]]*Table3[[#This Row],[Column1]]</f>
        <v>0</v>
      </c>
    </row>
    <row r="103" spans="1:15" s="26" customFormat="1" ht="14.25" customHeight="1" x14ac:dyDescent="0.25">
      <c r="A103" s="50">
        <v>96</v>
      </c>
      <c r="B103" s="20" t="s">
        <v>55</v>
      </c>
      <c r="C103" s="32" t="s">
        <v>22</v>
      </c>
      <c r="D103" s="58">
        <v>30</v>
      </c>
      <c r="E103" s="40" t="s">
        <v>17</v>
      </c>
      <c r="F103" s="40" t="s">
        <v>17</v>
      </c>
      <c r="G103" s="40" t="s">
        <v>17</v>
      </c>
      <c r="H103" s="40" t="s">
        <v>17</v>
      </c>
      <c r="I103" s="40" t="s">
        <v>17</v>
      </c>
      <c r="J103" s="27">
        <v>3.1E-2</v>
      </c>
      <c r="K103" s="23"/>
      <c r="L103" s="24">
        <f>Table3[[#This Row],[BOX Quantity]]*Table3[[#This Row],[Printed Pouch]]</f>
        <v>0</v>
      </c>
      <c r="M103" s="25">
        <f t="shared" si="4"/>
        <v>0</v>
      </c>
      <c r="N103" s="162">
        <v>0.5</v>
      </c>
      <c r="O103" s="146">
        <f>Table3[[#This Row],[Order Quantity (Pkts)]]*Table3[[#This Row],[Column1]]</f>
        <v>0</v>
      </c>
    </row>
    <row r="104" spans="1:15" s="26" customFormat="1" ht="14.25" customHeight="1" x14ac:dyDescent="0.25">
      <c r="A104" s="50">
        <v>97</v>
      </c>
      <c r="B104" s="20" t="s">
        <v>55</v>
      </c>
      <c r="C104" s="32" t="s">
        <v>23</v>
      </c>
      <c r="D104" s="59">
        <v>15</v>
      </c>
      <c r="E104" s="40" t="s">
        <v>17</v>
      </c>
      <c r="F104" s="40" t="s">
        <v>17</v>
      </c>
      <c r="G104" s="40" t="s">
        <v>17</v>
      </c>
      <c r="H104" s="40" t="s">
        <v>17</v>
      </c>
      <c r="I104" s="40" t="s">
        <v>17</v>
      </c>
      <c r="J104" s="27">
        <v>3.1E-2</v>
      </c>
      <c r="K104" s="23"/>
      <c r="L104" s="24">
        <f>K104*D104</f>
        <v>0</v>
      </c>
      <c r="M104" s="25">
        <f t="shared" si="4"/>
        <v>0</v>
      </c>
      <c r="N104" s="162">
        <v>0.11</v>
      </c>
      <c r="O104" s="146">
        <f>Table3[[#This Row],[Order Quantity (Pkts)]]*Table3[[#This Row],[Column1]]</f>
        <v>0</v>
      </c>
    </row>
    <row r="105" spans="1:15" s="26" customFormat="1" ht="14.25" customHeight="1" x14ac:dyDescent="0.25">
      <c r="A105" s="50">
        <v>98</v>
      </c>
      <c r="B105" s="20" t="s">
        <v>176</v>
      </c>
      <c r="C105" s="32" t="s">
        <v>23</v>
      </c>
      <c r="D105" s="53" t="s">
        <v>17</v>
      </c>
      <c r="E105" s="27">
        <v>15</v>
      </c>
      <c r="F105" s="40" t="s">
        <v>17</v>
      </c>
      <c r="G105" s="40" t="s">
        <v>17</v>
      </c>
      <c r="H105" s="40" t="s">
        <v>17</v>
      </c>
      <c r="I105" s="40" t="s">
        <v>17</v>
      </c>
      <c r="J105" s="27">
        <v>3.1E-2</v>
      </c>
      <c r="K105" s="23"/>
      <c r="L105" s="24">
        <f>K105*Table3[[#This Row],[Unprinted Pouch]]</f>
        <v>0</v>
      </c>
      <c r="M105" s="114">
        <f>K105*J105</f>
        <v>0</v>
      </c>
      <c r="N105" s="162"/>
      <c r="O105" s="146">
        <f>Table3[[#This Row],[Order Quantity (Pkts)]]*Table3[[#This Row],[Column1]]</f>
        <v>0</v>
      </c>
    </row>
    <row r="106" spans="1:15" s="26" customFormat="1" ht="14.25" customHeight="1" x14ac:dyDescent="0.25">
      <c r="A106" s="50">
        <v>99</v>
      </c>
      <c r="B106" s="20" t="s">
        <v>56</v>
      </c>
      <c r="C106" s="32" t="s">
        <v>31</v>
      </c>
      <c r="D106" s="58">
        <v>50</v>
      </c>
      <c r="E106" s="40" t="s">
        <v>17</v>
      </c>
      <c r="F106" s="40" t="s">
        <v>17</v>
      </c>
      <c r="G106" s="40" t="s">
        <v>17</v>
      </c>
      <c r="H106" s="40" t="s">
        <v>17</v>
      </c>
      <c r="I106" s="40" t="s">
        <v>17</v>
      </c>
      <c r="J106" s="27">
        <v>3.1E-2</v>
      </c>
      <c r="K106" s="23"/>
      <c r="L106" s="24">
        <f>K106*D106</f>
        <v>0</v>
      </c>
      <c r="M106" s="25">
        <f t="shared" si="4"/>
        <v>0</v>
      </c>
      <c r="N106" s="162">
        <v>0.2</v>
      </c>
      <c r="O106" s="146">
        <f>Table3[[#This Row],[Order Quantity (Pkts)]]*Table3[[#This Row],[Column1]]</f>
        <v>0</v>
      </c>
    </row>
    <row r="107" spans="1:15" s="26" customFormat="1" ht="14.25" customHeight="1" x14ac:dyDescent="0.25">
      <c r="A107" s="50">
        <v>100</v>
      </c>
      <c r="B107" s="20" t="s">
        <v>56</v>
      </c>
      <c r="C107" s="32" t="s">
        <v>19</v>
      </c>
      <c r="D107" s="58">
        <v>30</v>
      </c>
      <c r="E107" s="40" t="s">
        <v>17</v>
      </c>
      <c r="F107" s="40" t="s">
        <v>17</v>
      </c>
      <c r="G107" s="40" t="s">
        <v>17</v>
      </c>
      <c r="H107" s="40" t="s">
        <v>17</v>
      </c>
      <c r="I107" s="40" t="s">
        <v>17</v>
      </c>
      <c r="J107" s="27">
        <v>3.1E-2</v>
      </c>
      <c r="K107" s="23"/>
      <c r="L107" s="24">
        <f>K107*D107</f>
        <v>0</v>
      </c>
      <c r="M107" s="25">
        <f t="shared" si="4"/>
        <v>0</v>
      </c>
      <c r="N107" s="162">
        <v>0.4</v>
      </c>
      <c r="O107" s="146">
        <f>Table3[[#This Row],[Order Quantity (Pkts)]]*Table3[[#This Row],[Column1]]</f>
        <v>0</v>
      </c>
    </row>
    <row r="108" spans="1:15" s="26" customFormat="1" ht="14.25" customHeight="1" x14ac:dyDescent="0.25">
      <c r="A108" s="50">
        <v>101</v>
      </c>
      <c r="B108" s="20" t="s">
        <v>56</v>
      </c>
      <c r="C108" s="32" t="s">
        <v>23</v>
      </c>
      <c r="D108" s="40" t="s">
        <v>17</v>
      </c>
      <c r="E108" s="58">
        <v>15</v>
      </c>
      <c r="F108" s="40" t="s">
        <v>17</v>
      </c>
      <c r="G108" s="40" t="s">
        <v>17</v>
      </c>
      <c r="H108" s="40" t="s">
        <v>17</v>
      </c>
      <c r="I108" s="40" t="s">
        <v>17</v>
      </c>
      <c r="J108" s="27">
        <v>3.1E-2</v>
      </c>
      <c r="K108" s="23"/>
      <c r="L108" s="24">
        <f>K108*Table3[[#This Row],[Unprinted Pouch]]</f>
        <v>0</v>
      </c>
      <c r="M108" s="25">
        <f t="shared" si="4"/>
        <v>0</v>
      </c>
      <c r="N108" s="162">
        <v>1</v>
      </c>
      <c r="O108" s="145">
        <f>Table3[[#This Row],[Order Quantity (Pkts)]]*Table3[[#This Row],[Column1]]</f>
        <v>0</v>
      </c>
    </row>
    <row r="109" spans="1:15" s="26" customFormat="1" ht="14.25" customHeight="1" x14ac:dyDescent="0.25">
      <c r="A109" s="50">
        <v>102</v>
      </c>
      <c r="B109" s="20" t="s">
        <v>57</v>
      </c>
      <c r="C109" s="32" t="s">
        <v>31</v>
      </c>
      <c r="D109" s="58">
        <v>50</v>
      </c>
      <c r="E109" s="40" t="s">
        <v>17</v>
      </c>
      <c r="F109" s="40" t="s">
        <v>17</v>
      </c>
      <c r="G109" s="40" t="s">
        <v>17</v>
      </c>
      <c r="H109" s="40" t="s">
        <v>17</v>
      </c>
      <c r="I109" s="40" t="s">
        <v>17</v>
      </c>
      <c r="J109" s="27">
        <v>3.1E-2</v>
      </c>
      <c r="K109" s="23"/>
      <c r="L109" s="24">
        <f>K109*D109</f>
        <v>0</v>
      </c>
      <c r="M109" s="25">
        <f t="shared" si="4"/>
        <v>0</v>
      </c>
      <c r="N109" s="162">
        <v>0.2</v>
      </c>
      <c r="O109" s="146">
        <f>Table3[[#This Row],[Order Quantity (Pkts)]]*Table3[[#This Row],[Column1]]</f>
        <v>0</v>
      </c>
    </row>
    <row r="110" spans="1:15" s="26" customFormat="1" ht="14.25" customHeight="1" x14ac:dyDescent="0.25">
      <c r="A110" s="50">
        <v>103</v>
      </c>
      <c r="B110" s="20" t="s">
        <v>58</v>
      </c>
      <c r="C110" s="32" t="s">
        <v>22</v>
      </c>
      <c r="D110" s="58">
        <v>30</v>
      </c>
      <c r="E110" s="40" t="s">
        <v>17</v>
      </c>
      <c r="F110" s="40" t="s">
        <v>17</v>
      </c>
      <c r="G110" s="40" t="s">
        <v>17</v>
      </c>
      <c r="H110" s="40" t="s">
        <v>17</v>
      </c>
      <c r="I110" s="40" t="s">
        <v>17</v>
      </c>
      <c r="J110" s="27">
        <v>3.1E-2</v>
      </c>
      <c r="K110" s="23"/>
      <c r="L110" s="24">
        <f>K110*D110</f>
        <v>0</v>
      </c>
      <c r="M110" s="25">
        <f t="shared" si="4"/>
        <v>0</v>
      </c>
      <c r="N110" s="162">
        <v>0.5</v>
      </c>
      <c r="O110" s="145">
        <f>Table3[[#This Row],[Order Quantity (Pkts)]]*Table3[[#This Row],[Column1]]</f>
        <v>0</v>
      </c>
    </row>
    <row r="111" spans="1:15" s="26" customFormat="1" ht="14.25" customHeight="1" x14ac:dyDescent="0.25">
      <c r="A111" s="50">
        <v>104</v>
      </c>
      <c r="B111" s="20" t="s">
        <v>58</v>
      </c>
      <c r="C111" s="32" t="s">
        <v>23</v>
      </c>
      <c r="D111" s="58">
        <v>15</v>
      </c>
      <c r="E111" s="40" t="s">
        <v>17</v>
      </c>
      <c r="F111" s="40" t="s">
        <v>17</v>
      </c>
      <c r="G111" s="40" t="s">
        <v>17</v>
      </c>
      <c r="H111" s="40" t="s">
        <v>17</v>
      </c>
      <c r="I111" s="40" t="s">
        <v>17</v>
      </c>
      <c r="J111" s="27">
        <v>3.1E-2</v>
      </c>
      <c r="K111" s="23"/>
      <c r="L111" s="24">
        <f>K111*D111</f>
        <v>0</v>
      </c>
      <c r="M111" s="25">
        <f t="shared" si="4"/>
        <v>0</v>
      </c>
      <c r="N111" s="162">
        <v>1</v>
      </c>
      <c r="O111" s="145">
        <f>Table3[[#This Row],[Order Quantity (Pkts)]]*Table3[[#This Row],[Column1]]</f>
        <v>0</v>
      </c>
    </row>
    <row r="112" spans="1:15" s="26" customFormat="1" ht="14.25" customHeight="1" x14ac:dyDescent="0.25">
      <c r="A112" s="50">
        <v>105</v>
      </c>
      <c r="B112" s="60" t="s">
        <v>59</v>
      </c>
      <c r="C112" s="61" t="s">
        <v>31</v>
      </c>
      <c r="D112" s="62">
        <v>50</v>
      </c>
      <c r="E112" s="40" t="s">
        <v>17</v>
      </c>
      <c r="F112" s="40" t="s">
        <v>17</v>
      </c>
      <c r="G112" s="40" t="s">
        <v>17</v>
      </c>
      <c r="H112" s="40" t="s">
        <v>17</v>
      </c>
      <c r="I112" s="40" t="s">
        <v>17</v>
      </c>
      <c r="J112" s="27">
        <v>3.1E-2</v>
      </c>
      <c r="K112" s="23"/>
      <c r="L112" s="24">
        <f>K112*D112</f>
        <v>0</v>
      </c>
      <c r="M112" s="25">
        <f t="shared" si="4"/>
        <v>0</v>
      </c>
      <c r="N112" s="162">
        <v>0.2</v>
      </c>
      <c r="O112" s="146">
        <f>Table3[[#This Row],[Order Quantity (Pkts)]]*Table3[[#This Row],[Column1]]</f>
        <v>0</v>
      </c>
    </row>
    <row r="113" spans="1:15" s="26" customFormat="1" ht="14.25" customHeight="1" x14ac:dyDescent="0.25">
      <c r="A113" s="50">
        <v>106</v>
      </c>
      <c r="B113" s="60" t="s">
        <v>59</v>
      </c>
      <c r="C113" s="61" t="s">
        <v>19</v>
      </c>
      <c r="D113" s="62">
        <v>40</v>
      </c>
      <c r="E113" s="40" t="s">
        <v>17</v>
      </c>
      <c r="F113" s="40" t="s">
        <v>17</v>
      </c>
      <c r="G113" s="40" t="s">
        <v>17</v>
      </c>
      <c r="H113" s="40" t="s">
        <v>17</v>
      </c>
      <c r="I113" s="40" t="s">
        <v>17</v>
      </c>
      <c r="J113" s="27">
        <v>3.1E-2</v>
      </c>
      <c r="K113" s="23"/>
      <c r="L113" s="24">
        <f>K113*D113</f>
        <v>0</v>
      </c>
      <c r="M113" s="25">
        <f t="shared" si="4"/>
        <v>0</v>
      </c>
      <c r="N113" s="162">
        <v>0.4</v>
      </c>
      <c r="O113" s="145">
        <f>Table3[[#This Row],[Order Quantity (Pkts)]]*Table3[[#This Row],[Column1]]</f>
        <v>0</v>
      </c>
    </row>
    <row r="114" spans="1:15" s="26" customFormat="1" ht="14.25" customHeight="1" x14ac:dyDescent="0.25">
      <c r="A114" s="50">
        <v>107</v>
      </c>
      <c r="B114" s="60" t="s">
        <v>60</v>
      </c>
      <c r="C114" s="61" t="s">
        <v>31</v>
      </c>
      <c r="D114" s="62">
        <v>50</v>
      </c>
      <c r="E114" s="40" t="s">
        <v>17</v>
      </c>
      <c r="F114" s="40" t="s">
        <v>17</v>
      </c>
      <c r="G114" s="40" t="s">
        <v>17</v>
      </c>
      <c r="H114" s="40" t="s">
        <v>17</v>
      </c>
      <c r="I114" s="40" t="s">
        <v>17</v>
      </c>
      <c r="J114" s="27">
        <v>3.1E-2</v>
      </c>
      <c r="K114" s="23"/>
      <c r="L114" s="24">
        <f>K114*D114</f>
        <v>0</v>
      </c>
      <c r="M114" s="25">
        <f t="shared" si="4"/>
        <v>0</v>
      </c>
      <c r="N114" s="162">
        <v>0.2</v>
      </c>
      <c r="O114" s="146">
        <f>Table3[[#This Row],[Order Quantity (Pkts)]]*Table3[[#This Row],[Column1]]</f>
        <v>0</v>
      </c>
    </row>
    <row r="115" spans="1:15" s="26" customFormat="1" ht="14.25" customHeight="1" x14ac:dyDescent="0.25">
      <c r="A115" s="50">
        <v>108</v>
      </c>
      <c r="B115" s="60" t="s">
        <v>60</v>
      </c>
      <c r="C115" s="61" t="s">
        <v>19</v>
      </c>
      <c r="D115" s="62">
        <v>30</v>
      </c>
      <c r="E115" s="40" t="s">
        <v>17</v>
      </c>
      <c r="F115" s="40" t="s">
        <v>17</v>
      </c>
      <c r="G115" s="40" t="s">
        <v>17</v>
      </c>
      <c r="H115" s="40" t="s">
        <v>17</v>
      </c>
      <c r="I115" s="40" t="s">
        <v>17</v>
      </c>
      <c r="J115" s="27">
        <v>3.1E-2</v>
      </c>
      <c r="K115" s="23"/>
      <c r="L115" s="24">
        <f>K115*D115</f>
        <v>0</v>
      </c>
      <c r="M115" s="25">
        <f t="shared" si="4"/>
        <v>0</v>
      </c>
      <c r="N115" s="162">
        <v>0.4</v>
      </c>
      <c r="O115" s="145">
        <f>Table3[[#This Row],[Order Quantity (Pkts)]]*Table3[[#This Row],[Column1]]</f>
        <v>0</v>
      </c>
    </row>
    <row r="116" spans="1:15" s="26" customFormat="1" ht="14.25" customHeight="1" x14ac:dyDescent="0.25">
      <c r="A116" s="63"/>
      <c r="B116" s="64" t="s">
        <v>61</v>
      </c>
      <c r="C116" s="65"/>
      <c r="D116" s="65"/>
      <c r="E116" s="65"/>
      <c r="F116" s="65"/>
      <c r="G116" s="65"/>
      <c r="H116" s="65"/>
      <c r="I116" s="65"/>
      <c r="J116" s="66"/>
      <c r="K116" s="66"/>
      <c r="L116" s="66"/>
      <c r="M116" s="66"/>
      <c r="N116" s="149"/>
      <c r="O116" s="149"/>
    </row>
    <row r="117" spans="1:15" s="26" customFormat="1" ht="14.25" customHeight="1" x14ac:dyDescent="0.25">
      <c r="A117" s="50">
        <v>109</v>
      </c>
      <c r="B117" s="54" t="s">
        <v>62</v>
      </c>
      <c r="C117" s="32" t="s">
        <v>21</v>
      </c>
      <c r="D117" s="51">
        <v>50</v>
      </c>
      <c r="E117" s="40" t="s">
        <v>17</v>
      </c>
      <c r="F117" s="40" t="s">
        <v>17</v>
      </c>
      <c r="G117" s="40" t="s">
        <v>17</v>
      </c>
      <c r="H117" s="40" t="s">
        <v>17</v>
      </c>
      <c r="I117" s="40" t="s">
        <v>17</v>
      </c>
      <c r="J117" s="27">
        <v>3.1E-2</v>
      </c>
      <c r="K117" s="23"/>
      <c r="L117" s="24">
        <f>K117*D117</f>
        <v>0</v>
      </c>
      <c r="M117" s="25">
        <f t="shared" ref="M117:M139" si="5">K117*J117</f>
        <v>0</v>
      </c>
      <c r="N117" s="162">
        <v>0.05</v>
      </c>
      <c r="O117" s="146">
        <f>Table3[[#This Row],[Order Quantity (Pkts)]]*Table3[[#This Row],[Column1]]</f>
        <v>0</v>
      </c>
    </row>
    <row r="118" spans="1:15" s="26" customFormat="1" ht="14.25" customHeight="1" x14ac:dyDescent="0.25">
      <c r="A118" s="50">
        <v>110</v>
      </c>
      <c r="B118" s="54" t="s">
        <v>63</v>
      </c>
      <c r="C118" s="32" t="s">
        <v>21</v>
      </c>
      <c r="D118" s="51">
        <v>50</v>
      </c>
      <c r="E118" s="40" t="s">
        <v>17</v>
      </c>
      <c r="F118" s="40" t="s">
        <v>17</v>
      </c>
      <c r="G118" s="40" t="s">
        <v>17</v>
      </c>
      <c r="H118" s="40" t="s">
        <v>17</v>
      </c>
      <c r="I118" s="40" t="s">
        <v>17</v>
      </c>
      <c r="J118" s="27">
        <v>3.1E-2</v>
      </c>
      <c r="K118" s="23"/>
      <c r="L118" s="24">
        <f>K118*D118</f>
        <v>0</v>
      </c>
      <c r="M118" s="25">
        <f t="shared" si="5"/>
        <v>0</v>
      </c>
      <c r="N118" s="162">
        <v>0.05</v>
      </c>
      <c r="O118" s="146">
        <f>Table3[[#This Row],[Order Quantity (Pkts)]]*Table3[[#This Row],[Column1]]</f>
        <v>0</v>
      </c>
    </row>
    <row r="119" spans="1:15" s="26" customFormat="1" ht="14.25" customHeight="1" x14ac:dyDescent="0.25">
      <c r="A119" s="50">
        <v>111</v>
      </c>
      <c r="B119" s="54" t="s">
        <v>64</v>
      </c>
      <c r="C119" s="32" t="s">
        <v>21</v>
      </c>
      <c r="D119" s="51">
        <v>50</v>
      </c>
      <c r="E119" s="40" t="s">
        <v>17</v>
      </c>
      <c r="F119" s="40" t="s">
        <v>17</v>
      </c>
      <c r="G119" s="40" t="s">
        <v>17</v>
      </c>
      <c r="H119" s="40" t="s">
        <v>17</v>
      </c>
      <c r="I119" s="40" t="s">
        <v>17</v>
      </c>
      <c r="J119" s="27">
        <v>3.1E-2</v>
      </c>
      <c r="K119" s="23"/>
      <c r="L119" s="24">
        <f>K119*D119</f>
        <v>0</v>
      </c>
      <c r="M119" s="25">
        <f t="shared" si="5"/>
        <v>0</v>
      </c>
      <c r="N119" s="162">
        <v>0.05</v>
      </c>
      <c r="O119" s="146">
        <f>Table3[[#This Row],[Order Quantity (Pkts)]]*Table3[[#This Row],[Column1]]</f>
        <v>0</v>
      </c>
    </row>
    <row r="120" spans="1:15" s="26" customFormat="1" ht="14.25" customHeight="1" x14ac:dyDescent="0.25">
      <c r="A120" s="50">
        <v>112</v>
      </c>
      <c r="B120" s="54" t="s">
        <v>65</v>
      </c>
      <c r="C120" s="32" t="s">
        <v>21</v>
      </c>
      <c r="D120" s="51">
        <v>50</v>
      </c>
      <c r="E120" s="40" t="s">
        <v>17</v>
      </c>
      <c r="F120" s="40" t="s">
        <v>17</v>
      </c>
      <c r="G120" s="40" t="s">
        <v>17</v>
      </c>
      <c r="H120" s="40" t="s">
        <v>17</v>
      </c>
      <c r="I120" s="40" t="s">
        <v>17</v>
      </c>
      <c r="J120" s="27">
        <v>3.1E-2</v>
      </c>
      <c r="K120" s="23"/>
      <c r="L120" s="24">
        <f>K120*D120</f>
        <v>0</v>
      </c>
      <c r="M120" s="25">
        <f t="shared" si="5"/>
        <v>0</v>
      </c>
      <c r="N120" s="162">
        <v>0.05</v>
      </c>
      <c r="O120" s="146">
        <f>Table3[[#This Row],[Order Quantity (Pkts)]]*Table3[[#This Row],[Column1]]</f>
        <v>0</v>
      </c>
    </row>
    <row r="121" spans="1:15" s="26" customFormat="1" ht="14.25" customHeight="1" x14ac:dyDescent="0.25">
      <c r="A121" s="50">
        <v>113</v>
      </c>
      <c r="B121" s="54" t="s">
        <v>66</v>
      </c>
      <c r="C121" s="32" t="s">
        <v>21</v>
      </c>
      <c r="D121" s="51">
        <v>50</v>
      </c>
      <c r="E121" s="40" t="s">
        <v>17</v>
      </c>
      <c r="F121" s="40" t="s">
        <v>17</v>
      </c>
      <c r="G121" s="40" t="s">
        <v>17</v>
      </c>
      <c r="H121" s="40" t="s">
        <v>17</v>
      </c>
      <c r="I121" s="40" t="s">
        <v>17</v>
      </c>
      <c r="J121" s="27">
        <v>3.1E-2</v>
      </c>
      <c r="K121" s="23"/>
      <c r="L121" s="24">
        <f>K121*D121</f>
        <v>0</v>
      </c>
      <c r="M121" s="25">
        <f t="shared" si="5"/>
        <v>0</v>
      </c>
      <c r="N121" s="162">
        <v>0.05</v>
      </c>
      <c r="O121" s="146">
        <f>Table3[[#This Row],[Order Quantity (Pkts)]]*Table3[[#This Row],[Column1]]</f>
        <v>0</v>
      </c>
    </row>
    <row r="122" spans="1:15" s="26" customFormat="1" ht="14.25" customHeight="1" x14ac:dyDescent="0.25">
      <c r="A122" s="50">
        <v>114</v>
      </c>
      <c r="B122" s="54" t="s">
        <v>67</v>
      </c>
      <c r="C122" s="32" t="s">
        <v>21</v>
      </c>
      <c r="D122" s="51">
        <v>50</v>
      </c>
      <c r="E122" s="40" t="s">
        <v>17</v>
      </c>
      <c r="F122" s="40" t="s">
        <v>17</v>
      </c>
      <c r="G122" s="40" t="s">
        <v>17</v>
      </c>
      <c r="H122" s="40" t="s">
        <v>17</v>
      </c>
      <c r="I122" s="40" t="s">
        <v>17</v>
      </c>
      <c r="J122" s="27">
        <v>3.1E-2</v>
      </c>
      <c r="K122" s="23"/>
      <c r="L122" s="24">
        <f>K122*D122</f>
        <v>0</v>
      </c>
      <c r="M122" s="25">
        <f t="shared" si="5"/>
        <v>0</v>
      </c>
      <c r="N122" s="162">
        <v>0.05</v>
      </c>
      <c r="O122" s="146">
        <f>Table3[[#This Row],[Order Quantity (Pkts)]]*Table3[[#This Row],[Column1]]</f>
        <v>0</v>
      </c>
    </row>
    <row r="123" spans="1:15" s="26" customFormat="1" ht="14.25" customHeight="1" x14ac:dyDescent="0.25">
      <c r="A123" s="50">
        <v>115</v>
      </c>
      <c r="B123" s="20" t="s">
        <v>68</v>
      </c>
      <c r="C123" s="32" t="s">
        <v>41</v>
      </c>
      <c r="D123" s="52">
        <v>50</v>
      </c>
      <c r="E123" s="40" t="s">
        <v>17</v>
      </c>
      <c r="F123" s="40" t="s">
        <v>17</v>
      </c>
      <c r="G123" s="40" t="s">
        <v>17</v>
      </c>
      <c r="H123" s="40" t="s">
        <v>17</v>
      </c>
      <c r="I123" s="40" t="s">
        <v>17</v>
      </c>
      <c r="J123" s="27">
        <v>3.1E-2</v>
      </c>
      <c r="K123" s="23"/>
      <c r="L123" s="24">
        <f>K123*D123</f>
        <v>0</v>
      </c>
      <c r="M123" s="25">
        <f t="shared" si="5"/>
        <v>0</v>
      </c>
      <c r="N123" s="162">
        <v>0.05</v>
      </c>
      <c r="O123" s="146">
        <f>Table3[[#This Row],[Order Quantity (Pkts)]]*Table3[[#This Row],[Column1]]</f>
        <v>0</v>
      </c>
    </row>
    <row r="124" spans="1:15" s="26" customFormat="1" ht="14.25" customHeight="1" x14ac:dyDescent="0.25">
      <c r="A124" s="50">
        <v>116</v>
      </c>
      <c r="B124" s="20" t="s">
        <v>69</v>
      </c>
      <c r="C124" s="32" t="s">
        <v>41</v>
      </c>
      <c r="D124" s="52">
        <v>50</v>
      </c>
      <c r="E124" s="40" t="s">
        <v>17</v>
      </c>
      <c r="F124" s="40" t="s">
        <v>17</v>
      </c>
      <c r="G124" s="40" t="s">
        <v>17</v>
      </c>
      <c r="H124" s="40" t="s">
        <v>17</v>
      </c>
      <c r="I124" s="40" t="s">
        <v>17</v>
      </c>
      <c r="J124" s="27">
        <v>3.1E-2</v>
      </c>
      <c r="K124" s="23"/>
      <c r="L124" s="24">
        <f>K124*D124</f>
        <v>0</v>
      </c>
      <c r="M124" s="25">
        <f t="shared" si="5"/>
        <v>0</v>
      </c>
      <c r="N124" s="162">
        <v>0.06</v>
      </c>
      <c r="O124" s="146">
        <f>Table3[[#This Row],[Order Quantity (Pkts)]]*Table3[[#This Row],[Column1]]</f>
        <v>0</v>
      </c>
    </row>
    <row r="125" spans="1:15" s="26" customFormat="1" ht="14.25" customHeight="1" x14ac:dyDescent="0.25">
      <c r="A125" s="50">
        <v>117</v>
      </c>
      <c r="B125" s="20" t="s">
        <v>70</v>
      </c>
      <c r="C125" s="32" t="s">
        <v>41</v>
      </c>
      <c r="D125" s="52">
        <v>50</v>
      </c>
      <c r="E125" s="40" t="s">
        <v>17</v>
      </c>
      <c r="F125" s="40" t="s">
        <v>17</v>
      </c>
      <c r="G125" s="40" t="s">
        <v>17</v>
      </c>
      <c r="H125" s="40" t="s">
        <v>17</v>
      </c>
      <c r="I125" s="40" t="s">
        <v>17</v>
      </c>
      <c r="J125" s="27">
        <v>3.1E-2</v>
      </c>
      <c r="K125" s="23"/>
      <c r="L125" s="24">
        <f>K125*D125</f>
        <v>0</v>
      </c>
      <c r="M125" s="25">
        <f t="shared" si="5"/>
        <v>0</v>
      </c>
      <c r="N125" s="162">
        <v>0.06</v>
      </c>
      <c r="O125" s="146">
        <f>Table3[[#This Row],[Order Quantity (Pkts)]]*Table3[[#This Row],[Column1]]</f>
        <v>0</v>
      </c>
    </row>
    <row r="126" spans="1:15" s="26" customFormat="1" ht="14.25" customHeight="1" x14ac:dyDescent="0.25">
      <c r="A126" s="50">
        <v>118</v>
      </c>
      <c r="B126" s="20" t="s">
        <v>71</v>
      </c>
      <c r="C126" s="32" t="s">
        <v>41</v>
      </c>
      <c r="D126" s="52">
        <v>50</v>
      </c>
      <c r="E126" s="40" t="s">
        <v>17</v>
      </c>
      <c r="F126" s="40" t="s">
        <v>17</v>
      </c>
      <c r="G126" s="40" t="s">
        <v>17</v>
      </c>
      <c r="H126" s="40" t="s">
        <v>17</v>
      </c>
      <c r="I126" s="40" t="s">
        <v>17</v>
      </c>
      <c r="J126" s="27">
        <v>3.1E-2</v>
      </c>
      <c r="K126" s="23"/>
      <c r="L126" s="24">
        <f>K126*D126</f>
        <v>0</v>
      </c>
      <c r="M126" s="25">
        <f t="shared" si="5"/>
        <v>0</v>
      </c>
      <c r="N126" s="162">
        <v>0.06</v>
      </c>
      <c r="O126" s="146">
        <f>Table3[[#This Row],[Order Quantity (Pkts)]]*Table3[[#This Row],[Column1]]</f>
        <v>0</v>
      </c>
    </row>
    <row r="127" spans="1:15" s="26" customFormat="1" ht="14.25" customHeight="1" x14ac:dyDescent="0.25">
      <c r="A127" s="50">
        <v>119</v>
      </c>
      <c r="B127" s="20" t="s">
        <v>72</v>
      </c>
      <c r="C127" s="32" t="s">
        <v>41</v>
      </c>
      <c r="D127" s="52">
        <v>50</v>
      </c>
      <c r="E127" s="40" t="s">
        <v>17</v>
      </c>
      <c r="F127" s="40" t="s">
        <v>17</v>
      </c>
      <c r="G127" s="40" t="s">
        <v>17</v>
      </c>
      <c r="H127" s="40" t="s">
        <v>17</v>
      </c>
      <c r="I127" s="40" t="s">
        <v>17</v>
      </c>
      <c r="J127" s="27">
        <v>3.1E-2</v>
      </c>
      <c r="K127" s="23"/>
      <c r="L127" s="24">
        <f>K127*D127</f>
        <v>0</v>
      </c>
      <c r="M127" s="25">
        <f t="shared" si="5"/>
        <v>0</v>
      </c>
      <c r="N127" s="162">
        <v>0.06</v>
      </c>
      <c r="O127" s="146">
        <f>Table3[[#This Row],[Order Quantity (Pkts)]]*Table3[[#This Row],[Column1]]</f>
        <v>0</v>
      </c>
    </row>
    <row r="128" spans="1:15" s="26" customFormat="1" ht="14.25" customHeight="1" x14ac:dyDescent="0.25">
      <c r="A128" s="50">
        <v>120</v>
      </c>
      <c r="B128" s="20" t="s">
        <v>73</v>
      </c>
      <c r="C128" s="32" t="s">
        <v>74</v>
      </c>
      <c r="D128" s="51">
        <v>45</v>
      </c>
      <c r="E128" s="40" t="s">
        <v>17</v>
      </c>
      <c r="F128" s="40" t="s">
        <v>17</v>
      </c>
      <c r="G128" s="40" t="s">
        <v>17</v>
      </c>
      <c r="H128" s="40" t="s">
        <v>17</v>
      </c>
      <c r="I128" s="40" t="s">
        <v>17</v>
      </c>
      <c r="J128" s="27">
        <v>3.1E-2</v>
      </c>
      <c r="K128" s="23"/>
      <c r="L128" s="24">
        <f>K128*D128</f>
        <v>0</v>
      </c>
      <c r="M128" s="25">
        <f t="shared" si="5"/>
        <v>0</v>
      </c>
      <c r="N128" s="162">
        <v>7.0000000000000007E-2</v>
      </c>
      <c r="O128" s="146">
        <f>Table3[[#This Row],[Order Quantity (Pkts)]]*Table3[[#This Row],[Column1]]</f>
        <v>0</v>
      </c>
    </row>
    <row r="129" spans="1:15" s="26" customFormat="1" ht="14.25" customHeight="1" x14ac:dyDescent="0.25">
      <c r="A129" s="50">
        <v>121</v>
      </c>
      <c r="B129" s="20" t="s">
        <v>75</v>
      </c>
      <c r="C129" s="32" t="s">
        <v>76</v>
      </c>
      <c r="D129" s="51">
        <v>40</v>
      </c>
      <c r="E129" s="40" t="s">
        <v>17</v>
      </c>
      <c r="F129" s="40" t="s">
        <v>17</v>
      </c>
      <c r="G129" s="40" t="s">
        <v>17</v>
      </c>
      <c r="H129" s="40" t="s">
        <v>17</v>
      </c>
      <c r="I129" s="40" t="s">
        <v>17</v>
      </c>
      <c r="J129" s="27">
        <v>3.1E-2</v>
      </c>
      <c r="K129" s="23"/>
      <c r="L129" s="24">
        <f>K129*D129</f>
        <v>0</v>
      </c>
      <c r="M129" s="25">
        <f t="shared" si="5"/>
        <v>0</v>
      </c>
      <c r="N129" s="162">
        <v>0.09</v>
      </c>
      <c r="O129" s="146">
        <f>Table3[[#This Row],[Order Quantity (Pkts)]]*Table3[[#This Row],[Column1]]</f>
        <v>0</v>
      </c>
    </row>
    <row r="130" spans="1:15" s="26" customFormat="1" ht="14.25" customHeight="1" x14ac:dyDescent="0.25">
      <c r="A130" s="50">
        <v>122</v>
      </c>
      <c r="B130" s="20" t="s">
        <v>63</v>
      </c>
      <c r="C130" s="32" t="s">
        <v>76</v>
      </c>
      <c r="D130" s="52">
        <v>40</v>
      </c>
      <c r="E130" s="40" t="s">
        <v>17</v>
      </c>
      <c r="F130" s="40" t="s">
        <v>17</v>
      </c>
      <c r="G130" s="40" t="s">
        <v>17</v>
      </c>
      <c r="H130" s="40" t="s">
        <v>17</v>
      </c>
      <c r="I130" s="40" t="s">
        <v>17</v>
      </c>
      <c r="J130" s="27">
        <v>3.1E-2</v>
      </c>
      <c r="K130" s="23"/>
      <c r="L130" s="24">
        <f>K130*D130</f>
        <v>0</v>
      </c>
      <c r="M130" s="25">
        <f t="shared" si="5"/>
        <v>0</v>
      </c>
      <c r="N130" s="162">
        <v>0.09</v>
      </c>
      <c r="O130" s="146">
        <f>Table3[[#This Row],[Order Quantity (Pkts)]]*Table3[[#This Row],[Column1]]</f>
        <v>0</v>
      </c>
    </row>
    <row r="131" spans="1:15" s="26" customFormat="1" ht="14.25" customHeight="1" x14ac:dyDescent="0.25">
      <c r="A131" s="50">
        <v>123</v>
      </c>
      <c r="B131" s="20" t="s">
        <v>72</v>
      </c>
      <c r="C131" s="32" t="s">
        <v>76</v>
      </c>
      <c r="D131" s="52">
        <v>40</v>
      </c>
      <c r="E131" s="40" t="s">
        <v>17</v>
      </c>
      <c r="F131" s="40" t="s">
        <v>17</v>
      </c>
      <c r="G131" s="40" t="s">
        <v>17</v>
      </c>
      <c r="H131" s="40" t="s">
        <v>17</v>
      </c>
      <c r="I131" s="40" t="s">
        <v>17</v>
      </c>
      <c r="J131" s="27">
        <v>3.1E-2</v>
      </c>
      <c r="K131" s="23"/>
      <c r="L131" s="24">
        <f>K131*D131</f>
        <v>0</v>
      </c>
      <c r="M131" s="25">
        <f t="shared" si="5"/>
        <v>0</v>
      </c>
      <c r="N131" s="162">
        <v>0.09</v>
      </c>
      <c r="O131" s="146">
        <f>Table3[[#This Row],[Order Quantity (Pkts)]]*Table3[[#This Row],[Column1]]</f>
        <v>0</v>
      </c>
    </row>
    <row r="132" spans="1:15" s="26" customFormat="1" ht="14.25" customHeight="1" x14ac:dyDescent="0.25">
      <c r="A132" s="50">
        <v>124</v>
      </c>
      <c r="B132" s="20" t="s">
        <v>64</v>
      </c>
      <c r="C132" s="32" t="s">
        <v>76</v>
      </c>
      <c r="D132" s="52">
        <v>40</v>
      </c>
      <c r="E132" s="40" t="s">
        <v>17</v>
      </c>
      <c r="F132" s="40" t="s">
        <v>17</v>
      </c>
      <c r="G132" s="40" t="s">
        <v>17</v>
      </c>
      <c r="H132" s="40" t="s">
        <v>17</v>
      </c>
      <c r="I132" s="40" t="s">
        <v>17</v>
      </c>
      <c r="J132" s="27">
        <v>3.1E-2</v>
      </c>
      <c r="K132" s="23"/>
      <c r="L132" s="24">
        <f>K132*D132</f>
        <v>0</v>
      </c>
      <c r="M132" s="25">
        <f t="shared" si="5"/>
        <v>0</v>
      </c>
      <c r="N132" s="162">
        <v>0.09</v>
      </c>
      <c r="O132" s="146">
        <f>Table3[[#This Row],[Order Quantity (Pkts)]]*Table3[[#This Row],[Column1]]</f>
        <v>0</v>
      </c>
    </row>
    <row r="133" spans="1:15" s="26" customFormat="1" ht="14.25" customHeight="1" x14ac:dyDescent="0.25">
      <c r="A133" s="50">
        <v>125</v>
      </c>
      <c r="B133" s="20" t="s">
        <v>77</v>
      </c>
      <c r="C133" s="32" t="s">
        <v>76</v>
      </c>
      <c r="D133" s="52">
        <v>40</v>
      </c>
      <c r="E133" s="40" t="s">
        <v>17</v>
      </c>
      <c r="F133" s="40" t="s">
        <v>17</v>
      </c>
      <c r="G133" s="40" t="s">
        <v>17</v>
      </c>
      <c r="H133" s="40" t="s">
        <v>17</v>
      </c>
      <c r="I133" s="40" t="s">
        <v>17</v>
      </c>
      <c r="J133" s="27">
        <v>3.1E-2</v>
      </c>
      <c r="K133" s="23"/>
      <c r="L133" s="24">
        <f>K133*D133</f>
        <v>0</v>
      </c>
      <c r="M133" s="25">
        <f t="shared" si="5"/>
        <v>0</v>
      </c>
      <c r="N133" s="162">
        <v>0.09</v>
      </c>
      <c r="O133" s="146">
        <f>Table3[[#This Row],[Order Quantity (Pkts)]]*Table3[[#This Row],[Column1]]</f>
        <v>0</v>
      </c>
    </row>
    <row r="134" spans="1:15" s="26" customFormat="1" ht="14.25" customHeight="1" x14ac:dyDescent="0.25">
      <c r="A134" s="50">
        <v>126</v>
      </c>
      <c r="B134" s="20" t="s">
        <v>78</v>
      </c>
      <c r="C134" s="32" t="s">
        <v>76</v>
      </c>
      <c r="D134" s="52">
        <v>40</v>
      </c>
      <c r="E134" s="40" t="s">
        <v>17</v>
      </c>
      <c r="F134" s="40" t="s">
        <v>17</v>
      </c>
      <c r="G134" s="40" t="s">
        <v>17</v>
      </c>
      <c r="H134" s="40" t="s">
        <v>17</v>
      </c>
      <c r="I134" s="40" t="s">
        <v>17</v>
      </c>
      <c r="J134" s="27">
        <v>3.1E-2</v>
      </c>
      <c r="K134" s="23"/>
      <c r="L134" s="24">
        <f>K134*D134</f>
        <v>0</v>
      </c>
      <c r="M134" s="25">
        <f t="shared" si="5"/>
        <v>0</v>
      </c>
      <c r="N134" s="162">
        <v>0.09</v>
      </c>
      <c r="O134" s="146">
        <f>Table3[[#This Row],[Order Quantity (Pkts)]]*Table3[[#This Row],[Column1]]</f>
        <v>0</v>
      </c>
    </row>
    <row r="135" spans="1:15" s="26" customFormat="1" ht="14.25" customHeight="1" x14ac:dyDescent="0.25">
      <c r="A135" s="50">
        <v>127</v>
      </c>
      <c r="B135" s="20" t="s">
        <v>79</v>
      </c>
      <c r="C135" s="32" t="s">
        <v>76</v>
      </c>
      <c r="D135" s="52">
        <v>40</v>
      </c>
      <c r="E135" s="40" t="s">
        <v>17</v>
      </c>
      <c r="F135" s="40" t="s">
        <v>17</v>
      </c>
      <c r="G135" s="40" t="s">
        <v>17</v>
      </c>
      <c r="H135" s="40" t="s">
        <v>17</v>
      </c>
      <c r="I135" s="40" t="s">
        <v>17</v>
      </c>
      <c r="J135" s="27">
        <v>3.1E-2</v>
      </c>
      <c r="K135" s="23"/>
      <c r="L135" s="24">
        <f>K135*D135</f>
        <v>0</v>
      </c>
      <c r="M135" s="25">
        <f t="shared" si="5"/>
        <v>0</v>
      </c>
      <c r="N135" s="162">
        <v>0.09</v>
      </c>
      <c r="O135" s="146">
        <f>Table3[[#This Row],[Order Quantity (Pkts)]]*Table3[[#This Row],[Column1]]</f>
        <v>0</v>
      </c>
    </row>
    <row r="136" spans="1:15" s="26" customFormat="1" ht="14.25" customHeight="1" x14ac:dyDescent="0.25">
      <c r="A136" s="50">
        <v>128</v>
      </c>
      <c r="B136" s="20" t="s">
        <v>80</v>
      </c>
      <c r="C136" s="32" t="s">
        <v>76</v>
      </c>
      <c r="D136" s="52">
        <v>40</v>
      </c>
      <c r="E136" s="40" t="s">
        <v>17</v>
      </c>
      <c r="F136" s="40" t="s">
        <v>17</v>
      </c>
      <c r="G136" s="40" t="s">
        <v>17</v>
      </c>
      <c r="H136" s="40" t="s">
        <v>17</v>
      </c>
      <c r="I136" s="40" t="s">
        <v>17</v>
      </c>
      <c r="J136" s="27">
        <v>3.1E-2</v>
      </c>
      <c r="K136" s="23"/>
      <c r="L136" s="24">
        <f>K136*D136</f>
        <v>0</v>
      </c>
      <c r="M136" s="25">
        <f t="shared" si="5"/>
        <v>0</v>
      </c>
      <c r="N136" s="162">
        <v>0.09</v>
      </c>
      <c r="O136" s="146">
        <f>Table3[[#This Row],[Order Quantity (Pkts)]]*Table3[[#This Row],[Column1]]</f>
        <v>0</v>
      </c>
    </row>
    <row r="137" spans="1:15" s="26" customFormat="1" ht="14.25" customHeight="1" x14ac:dyDescent="0.25">
      <c r="A137" s="50">
        <v>129</v>
      </c>
      <c r="B137" s="20" t="s">
        <v>81</v>
      </c>
      <c r="C137" s="32" t="s">
        <v>18</v>
      </c>
      <c r="D137" s="40" t="s">
        <v>17</v>
      </c>
      <c r="E137" s="67">
        <v>40</v>
      </c>
      <c r="F137" s="40" t="s">
        <v>17</v>
      </c>
      <c r="G137" s="40" t="s">
        <v>17</v>
      </c>
      <c r="H137" s="40" t="s">
        <v>17</v>
      </c>
      <c r="I137" s="40" t="s">
        <v>17</v>
      </c>
      <c r="J137" s="27">
        <v>3.1E-2</v>
      </c>
      <c r="K137" s="23"/>
      <c r="L137" s="24">
        <f>K137*Table3[[#This Row],[Unprinted Pouch]]</f>
        <v>0</v>
      </c>
      <c r="M137" s="25">
        <f t="shared" si="5"/>
        <v>0</v>
      </c>
      <c r="N137" s="162">
        <v>0.25</v>
      </c>
      <c r="O137" s="146">
        <f>Table3[[#This Row],[Order Quantity (Pkts)]]*Table3[[#This Row],[Column1]]</f>
        <v>0</v>
      </c>
    </row>
    <row r="138" spans="1:15" s="26" customFormat="1" ht="14.25" customHeight="1" x14ac:dyDescent="0.25">
      <c r="A138" s="50">
        <v>130</v>
      </c>
      <c r="B138" s="20" t="s">
        <v>81</v>
      </c>
      <c r="C138" s="32" t="s">
        <v>22</v>
      </c>
      <c r="D138" s="40" t="s">
        <v>17</v>
      </c>
      <c r="E138" s="67">
        <v>20</v>
      </c>
      <c r="F138" s="40" t="s">
        <v>17</v>
      </c>
      <c r="G138" s="40" t="s">
        <v>17</v>
      </c>
      <c r="H138" s="40" t="s">
        <v>17</v>
      </c>
      <c r="I138" s="40" t="s">
        <v>17</v>
      </c>
      <c r="J138" s="27">
        <v>3.1E-2</v>
      </c>
      <c r="K138" s="23"/>
      <c r="L138" s="24">
        <f>K138*Table3[[#This Row],[Unprinted Pouch]]</f>
        <v>0</v>
      </c>
      <c r="M138" s="25">
        <f t="shared" si="5"/>
        <v>0</v>
      </c>
      <c r="N138" s="162">
        <v>0.5</v>
      </c>
      <c r="O138" s="146">
        <f>Table3[[#This Row],[Order Quantity (Pkts)]]*Table3[[#This Row],[Column1]]</f>
        <v>0</v>
      </c>
    </row>
    <row r="139" spans="1:15" s="26" customFormat="1" ht="14.25" customHeight="1" x14ac:dyDescent="0.25">
      <c r="A139" s="50">
        <v>131</v>
      </c>
      <c r="B139" s="20" t="s">
        <v>81</v>
      </c>
      <c r="C139" s="32" t="s">
        <v>23</v>
      </c>
      <c r="D139" s="40" t="s">
        <v>17</v>
      </c>
      <c r="E139" s="41">
        <v>10</v>
      </c>
      <c r="F139" s="40" t="s">
        <v>17</v>
      </c>
      <c r="G139" s="40" t="s">
        <v>17</v>
      </c>
      <c r="H139" s="40" t="s">
        <v>17</v>
      </c>
      <c r="I139" s="40" t="s">
        <v>17</v>
      </c>
      <c r="J139" s="27">
        <v>3.1E-2</v>
      </c>
      <c r="K139" s="23"/>
      <c r="L139" s="24">
        <f>K139*Table3[[#This Row],[Unprinted Pouch]]</f>
        <v>0</v>
      </c>
      <c r="M139" s="25">
        <f t="shared" si="5"/>
        <v>0</v>
      </c>
      <c r="N139" s="162">
        <v>1</v>
      </c>
      <c r="O139" s="146">
        <f>Table3[[#This Row],[Order Quantity (Pkts)]]*Table3[[#This Row],[Column1]]</f>
        <v>0</v>
      </c>
    </row>
    <row r="140" spans="1:15" s="26" customFormat="1" ht="14.25" customHeight="1" x14ac:dyDescent="0.25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63"/>
      <c r="O140" s="137"/>
    </row>
    <row r="141" spans="1:15" s="26" customFormat="1" ht="14.25" customHeight="1" x14ac:dyDescent="0.25">
      <c r="A141" s="50">
        <v>132</v>
      </c>
      <c r="B141" s="20" t="s">
        <v>82</v>
      </c>
      <c r="C141" s="32" t="s">
        <v>16</v>
      </c>
      <c r="D141" s="40" t="s">
        <v>17</v>
      </c>
      <c r="E141" s="40" t="s">
        <v>17</v>
      </c>
      <c r="F141" s="40" t="s">
        <v>17</v>
      </c>
      <c r="G141" s="40" t="s">
        <v>17</v>
      </c>
      <c r="H141" s="40" t="s">
        <v>17</v>
      </c>
      <c r="I141" s="41">
        <v>45</v>
      </c>
      <c r="J141" s="22">
        <v>0.01</v>
      </c>
      <c r="K141" s="23"/>
      <c r="L141" s="24">
        <f>K141*I141</f>
        <v>0</v>
      </c>
      <c r="M141" s="25">
        <f t="shared" ref="M141:M146" si="6">K141*J141</f>
        <v>0</v>
      </c>
      <c r="N141" s="162">
        <v>0.1</v>
      </c>
      <c r="O141" s="146">
        <f>Table3[[#This Row],[Order Quantity (Pkts)]]*Table3[[#This Row],[Column1]]</f>
        <v>0</v>
      </c>
    </row>
    <row r="142" spans="1:15" s="26" customFormat="1" ht="14.25" customHeight="1" x14ac:dyDescent="0.25">
      <c r="A142" s="50">
        <v>133</v>
      </c>
      <c r="B142" s="20" t="s">
        <v>82</v>
      </c>
      <c r="C142" s="32" t="s">
        <v>18</v>
      </c>
      <c r="D142" s="40" t="s">
        <v>17</v>
      </c>
      <c r="E142" s="40" t="s">
        <v>17</v>
      </c>
      <c r="F142" s="40" t="s">
        <v>17</v>
      </c>
      <c r="G142" s="40" t="s">
        <v>17</v>
      </c>
      <c r="H142" s="40" t="s">
        <v>17</v>
      </c>
      <c r="I142" s="41">
        <v>24</v>
      </c>
      <c r="J142" s="27">
        <v>1.4E-2</v>
      </c>
      <c r="K142" s="23"/>
      <c r="L142" s="24">
        <f>K142*I142</f>
        <v>0</v>
      </c>
      <c r="M142" s="25">
        <f t="shared" si="6"/>
        <v>0</v>
      </c>
      <c r="N142" s="162">
        <v>0.25</v>
      </c>
      <c r="O142" s="146">
        <f>Table3[[#This Row],[Order Quantity (Pkts)]]*Table3[[#This Row],[Column1]]</f>
        <v>0</v>
      </c>
    </row>
    <row r="143" spans="1:15" s="26" customFormat="1" ht="14.25" customHeight="1" x14ac:dyDescent="0.25">
      <c r="A143" s="50">
        <v>134</v>
      </c>
      <c r="B143" s="20" t="s">
        <v>82</v>
      </c>
      <c r="C143" s="32" t="s">
        <v>22</v>
      </c>
      <c r="D143" s="40" t="s">
        <v>17</v>
      </c>
      <c r="E143" s="40" t="s">
        <v>17</v>
      </c>
      <c r="F143" s="40" t="s">
        <v>17</v>
      </c>
      <c r="G143" s="40" t="s">
        <v>17</v>
      </c>
      <c r="H143" s="40" t="s">
        <v>17</v>
      </c>
      <c r="I143" s="41">
        <v>12</v>
      </c>
      <c r="J143" s="27">
        <v>1.2999999999999999E-2</v>
      </c>
      <c r="K143" s="23"/>
      <c r="L143" s="24">
        <f>K143*I143</f>
        <v>0</v>
      </c>
      <c r="M143" s="25">
        <f t="shared" si="6"/>
        <v>0</v>
      </c>
      <c r="N143" s="162">
        <v>0.5</v>
      </c>
      <c r="O143" s="146">
        <f>Table3[[#This Row],[Order Quantity (Pkts)]]*Table3[[#This Row],[Column1]]</f>
        <v>0</v>
      </c>
    </row>
    <row r="144" spans="1:15" s="26" customFormat="1" ht="14.25" customHeight="1" x14ac:dyDescent="0.25">
      <c r="A144" s="50">
        <v>135</v>
      </c>
      <c r="B144" s="20" t="s">
        <v>83</v>
      </c>
      <c r="C144" s="32" t="s">
        <v>16</v>
      </c>
      <c r="D144" s="40" t="s">
        <v>17</v>
      </c>
      <c r="E144" s="40" t="s">
        <v>17</v>
      </c>
      <c r="F144" s="41">
        <v>50</v>
      </c>
      <c r="G144" s="40" t="s">
        <v>17</v>
      </c>
      <c r="H144" s="40" t="s">
        <v>17</v>
      </c>
      <c r="I144" s="40" t="s">
        <v>17</v>
      </c>
      <c r="J144" s="27">
        <v>3.1E-2</v>
      </c>
      <c r="K144" s="23"/>
      <c r="L144" s="24">
        <f>K144*F144</f>
        <v>0</v>
      </c>
      <c r="M144" s="25">
        <f t="shared" si="6"/>
        <v>0</v>
      </c>
      <c r="N144" s="162">
        <v>0.1</v>
      </c>
      <c r="O144" s="146">
        <f>Table3[[#This Row],[Order Quantity (Pkts)]]*Table3[[#This Row],[Column1]]</f>
        <v>0</v>
      </c>
    </row>
    <row r="145" spans="1:15" s="26" customFormat="1" ht="14.25" customHeight="1" x14ac:dyDescent="0.25">
      <c r="A145" s="50">
        <v>136</v>
      </c>
      <c r="B145" s="20" t="s">
        <v>83</v>
      </c>
      <c r="C145" s="32" t="s">
        <v>16</v>
      </c>
      <c r="D145" s="40" t="s">
        <v>17</v>
      </c>
      <c r="E145" s="41">
        <v>75</v>
      </c>
      <c r="F145" s="40" t="s">
        <v>17</v>
      </c>
      <c r="G145" s="40" t="s">
        <v>17</v>
      </c>
      <c r="H145" s="40" t="s">
        <v>17</v>
      </c>
      <c r="I145" s="40" t="s">
        <v>17</v>
      </c>
      <c r="J145" s="27">
        <v>3.1E-2</v>
      </c>
      <c r="K145" s="23"/>
      <c r="L145" s="24">
        <f>K145*Table3[[#This Row],[Unprinted Pouch]]</f>
        <v>0</v>
      </c>
      <c r="M145" s="25">
        <f t="shared" si="6"/>
        <v>0</v>
      </c>
      <c r="N145" s="162">
        <v>0.1</v>
      </c>
      <c r="O145" s="146">
        <f>Table3[[#This Row],[Order Quantity (Pkts)]]*Table3[[#This Row],[Column1]]</f>
        <v>0</v>
      </c>
    </row>
    <row r="146" spans="1:15" s="26" customFormat="1" ht="14.25" customHeight="1" x14ac:dyDescent="0.25">
      <c r="A146" s="50">
        <v>137</v>
      </c>
      <c r="B146" s="20" t="s">
        <v>83</v>
      </c>
      <c r="C146" s="32" t="s">
        <v>31</v>
      </c>
      <c r="D146" s="40" t="s">
        <v>17</v>
      </c>
      <c r="E146" s="41">
        <v>50</v>
      </c>
      <c r="F146" s="40" t="s">
        <v>17</v>
      </c>
      <c r="G146" s="40" t="s">
        <v>17</v>
      </c>
      <c r="H146" s="40" t="s">
        <v>17</v>
      </c>
      <c r="I146" s="40" t="s">
        <v>17</v>
      </c>
      <c r="J146" s="22">
        <f>(18.5*38*19)/1000000</f>
        <v>1.3357000000000001E-2</v>
      </c>
      <c r="K146" s="23"/>
      <c r="L146" s="24">
        <f>K146*Table3[[#This Row],[Unprinted Pouch]]</f>
        <v>0</v>
      </c>
      <c r="M146" s="25">
        <f t="shared" si="6"/>
        <v>0</v>
      </c>
      <c r="N146" s="162">
        <v>0.2</v>
      </c>
      <c r="O146" s="146">
        <f>Table3[[#This Row],[Order Quantity (Pkts)]]*Table3[[#This Row],[Column1]]</f>
        <v>0</v>
      </c>
    </row>
    <row r="147" spans="1:15" s="26" customFormat="1" ht="14.25" customHeight="1" x14ac:dyDescent="0.25">
      <c r="A147" s="50">
        <v>138</v>
      </c>
      <c r="B147" s="20" t="s">
        <v>82</v>
      </c>
      <c r="C147" s="32" t="s">
        <v>31</v>
      </c>
      <c r="D147" s="40" t="s">
        <v>17</v>
      </c>
      <c r="E147" s="40" t="s">
        <v>17</v>
      </c>
      <c r="F147" s="40" t="s">
        <v>17</v>
      </c>
      <c r="G147" s="53">
        <v>24</v>
      </c>
      <c r="H147" s="40" t="s">
        <v>17</v>
      </c>
      <c r="I147" s="40" t="s">
        <v>17</v>
      </c>
      <c r="J147" s="22">
        <f>(18.5*38*19)/1000000</f>
        <v>1.3357000000000001E-2</v>
      </c>
      <c r="K147" s="23"/>
      <c r="L147" s="24">
        <f>Table3[[#This Row],[BOX Quantity]]*Table3[[#This Row],[Bottle /Canisters]]</f>
        <v>0</v>
      </c>
      <c r="M147" s="114">
        <f>K147*J147</f>
        <v>0</v>
      </c>
      <c r="N147" s="162">
        <v>0.2</v>
      </c>
      <c r="O147" s="146">
        <f>Table3[[#This Row],[Order Quantity (Pkts)]]*Table3[[#This Row],[Column1]]</f>
        <v>0</v>
      </c>
    </row>
    <row r="148" spans="1:15" s="26" customFormat="1" ht="14.25" customHeight="1" x14ac:dyDescent="0.25">
      <c r="A148" s="138"/>
      <c r="B148" s="68" t="s">
        <v>84</v>
      </c>
      <c r="C148" s="69"/>
      <c r="D148" s="69"/>
      <c r="E148" s="69"/>
      <c r="F148" s="69"/>
      <c r="G148" s="69"/>
      <c r="H148" s="69"/>
      <c r="I148" s="69"/>
      <c r="J148" s="70"/>
      <c r="K148" s="70"/>
      <c r="L148" s="70"/>
      <c r="M148" s="70"/>
      <c r="N148" s="150"/>
      <c r="O148" s="150"/>
    </row>
    <row r="149" spans="1:15" s="26" customFormat="1" ht="14.25" customHeight="1" x14ac:dyDescent="0.25">
      <c r="A149" s="50">
        <v>139</v>
      </c>
      <c r="B149" s="20" t="s">
        <v>85</v>
      </c>
      <c r="C149" s="32" t="s">
        <v>27</v>
      </c>
      <c r="D149" s="53">
        <v>200</v>
      </c>
      <c r="E149" s="40" t="s">
        <v>17</v>
      </c>
      <c r="F149" s="40" t="s">
        <v>17</v>
      </c>
      <c r="G149" s="40" t="s">
        <v>17</v>
      </c>
      <c r="H149" s="40" t="s">
        <v>17</v>
      </c>
      <c r="I149" s="40" t="s">
        <v>17</v>
      </c>
      <c r="J149" s="27">
        <v>3.1E-2</v>
      </c>
      <c r="K149" s="23"/>
      <c r="L149" s="24">
        <f>K149*D149</f>
        <v>0</v>
      </c>
      <c r="M149" s="25">
        <f t="shared" ref="M149:M161" si="7">K149*J149</f>
        <v>0</v>
      </c>
      <c r="N149" s="162">
        <v>2.5000000000000001E-2</v>
      </c>
      <c r="O149" s="146">
        <f>Table3[[#This Row],[Order Quantity (Pkts)]]*Table3[[#This Row],[Column1]]</f>
        <v>0</v>
      </c>
    </row>
    <row r="150" spans="1:15" s="26" customFormat="1" ht="14.25" customHeight="1" x14ac:dyDescent="0.25">
      <c r="A150" s="50">
        <v>140</v>
      </c>
      <c r="B150" s="20" t="s">
        <v>85</v>
      </c>
      <c r="C150" s="32" t="s">
        <v>21</v>
      </c>
      <c r="D150" s="53">
        <v>150</v>
      </c>
      <c r="E150" s="40" t="s">
        <v>17</v>
      </c>
      <c r="F150" s="40" t="s">
        <v>17</v>
      </c>
      <c r="G150" s="40" t="s">
        <v>17</v>
      </c>
      <c r="H150" s="40" t="s">
        <v>17</v>
      </c>
      <c r="I150" s="40" t="s">
        <v>17</v>
      </c>
      <c r="J150" s="27">
        <v>3.1E-2</v>
      </c>
      <c r="K150" s="23"/>
      <c r="L150" s="24">
        <f>K150*D150</f>
        <v>0</v>
      </c>
      <c r="M150" s="25">
        <f t="shared" si="7"/>
        <v>0</v>
      </c>
      <c r="N150" s="162">
        <v>0.05</v>
      </c>
      <c r="O150" s="146">
        <f>Table3[[#This Row],[Order Quantity (Pkts)]]*Table3[[#This Row],[Column1]]</f>
        <v>0</v>
      </c>
    </row>
    <row r="151" spans="1:15" s="26" customFormat="1" ht="14.25" customHeight="1" x14ac:dyDescent="0.25">
      <c r="A151" s="50">
        <v>141</v>
      </c>
      <c r="B151" s="20" t="s">
        <v>85</v>
      </c>
      <c r="C151" s="32" t="s">
        <v>16</v>
      </c>
      <c r="D151" s="40" t="s">
        <v>17</v>
      </c>
      <c r="E151" s="41">
        <v>100</v>
      </c>
      <c r="F151" s="40" t="s">
        <v>17</v>
      </c>
      <c r="G151" s="40" t="s">
        <v>17</v>
      </c>
      <c r="H151" s="40" t="s">
        <v>17</v>
      </c>
      <c r="I151" s="40" t="s">
        <v>17</v>
      </c>
      <c r="J151" s="27">
        <v>3.1E-2</v>
      </c>
      <c r="K151" s="23"/>
      <c r="L151" s="24">
        <f>K151*Table3[[#This Row],[Unprinted Pouch]]</f>
        <v>0</v>
      </c>
      <c r="M151" s="25">
        <f t="shared" si="7"/>
        <v>0</v>
      </c>
      <c r="N151" s="162">
        <v>0.1</v>
      </c>
      <c r="O151" s="146">
        <f>Table3[[#This Row],[Order Quantity (Pkts)]]*Table3[[#This Row],[Column1]]</f>
        <v>0</v>
      </c>
    </row>
    <row r="152" spans="1:15" s="26" customFormat="1" ht="14.25" customHeight="1" x14ac:dyDescent="0.25">
      <c r="A152" s="50">
        <v>142</v>
      </c>
      <c r="B152" s="20" t="s">
        <v>85</v>
      </c>
      <c r="C152" s="32" t="s">
        <v>31</v>
      </c>
      <c r="D152" s="40" t="s">
        <v>17</v>
      </c>
      <c r="E152" s="41">
        <v>60</v>
      </c>
      <c r="F152" s="40" t="s">
        <v>17</v>
      </c>
      <c r="G152" s="40" t="s">
        <v>17</v>
      </c>
      <c r="H152" s="40" t="s">
        <v>17</v>
      </c>
      <c r="I152" s="40" t="s">
        <v>17</v>
      </c>
      <c r="J152" s="27">
        <v>3.1E-2</v>
      </c>
      <c r="K152" s="23"/>
      <c r="L152" s="24">
        <f>K152*Table3[[#This Row],[Unprinted Pouch]]</f>
        <v>0</v>
      </c>
      <c r="M152" s="25">
        <f t="shared" si="7"/>
        <v>0</v>
      </c>
      <c r="N152" s="162">
        <v>0.2</v>
      </c>
      <c r="O152" s="146">
        <f>Table3[[#This Row],[Order Quantity (Pkts)]]*Table3[[#This Row],[Column1]]</f>
        <v>0</v>
      </c>
    </row>
    <row r="153" spans="1:15" s="26" customFormat="1" ht="14.25" customHeight="1" x14ac:dyDescent="0.25">
      <c r="A153" s="50">
        <v>143</v>
      </c>
      <c r="B153" s="20" t="s">
        <v>85</v>
      </c>
      <c r="C153" s="32" t="s">
        <v>22</v>
      </c>
      <c r="D153" s="40" t="s">
        <v>17</v>
      </c>
      <c r="E153" s="41">
        <v>28</v>
      </c>
      <c r="F153" s="40" t="s">
        <v>17</v>
      </c>
      <c r="G153" s="40" t="s">
        <v>17</v>
      </c>
      <c r="H153" s="40" t="s">
        <v>17</v>
      </c>
      <c r="I153" s="40" t="s">
        <v>17</v>
      </c>
      <c r="J153" s="27">
        <v>3.1E-2</v>
      </c>
      <c r="K153" s="23"/>
      <c r="L153" s="24">
        <f>K153*Table3[[#This Row],[Unprinted Pouch]]</f>
        <v>0</v>
      </c>
      <c r="M153" s="25">
        <f t="shared" si="7"/>
        <v>0</v>
      </c>
      <c r="N153" s="162">
        <v>0.5</v>
      </c>
      <c r="O153" s="145">
        <f>Table3[[#This Row],[Order Quantity (Pkts)]]*Table3[[#This Row],[Column1]]</f>
        <v>0</v>
      </c>
    </row>
    <row r="154" spans="1:15" s="26" customFormat="1" ht="14.25" customHeight="1" x14ac:dyDescent="0.25">
      <c r="A154" s="50">
        <v>144</v>
      </c>
      <c r="B154" s="20" t="s">
        <v>86</v>
      </c>
      <c r="C154" s="32" t="s">
        <v>16</v>
      </c>
      <c r="D154" s="51">
        <v>150</v>
      </c>
      <c r="E154" s="40" t="s">
        <v>17</v>
      </c>
      <c r="F154" s="40" t="s">
        <v>17</v>
      </c>
      <c r="G154" s="40" t="s">
        <v>17</v>
      </c>
      <c r="H154" s="40" t="s">
        <v>17</v>
      </c>
      <c r="I154" s="40" t="s">
        <v>17</v>
      </c>
      <c r="J154" s="27">
        <v>3.1E-2</v>
      </c>
      <c r="K154" s="23"/>
      <c r="L154" s="24">
        <f>K154*D154</f>
        <v>0</v>
      </c>
      <c r="M154" s="25">
        <f t="shared" si="7"/>
        <v>0</v>
      </c>
      <c r="N154" s="162">
        <v>0.1</v>
      </c>
      <c r="O154" s="145">
        <f>Table3[[#This Row],[Order Quantity (Pkts)]]*Table3[[#This Row],[Column1]]</f>
        <v>0</v>
      </c>
    </row>
    <row r="155" spans="1:15" s="26" customFormat="1" ht="14.25" customHeight="1" x14ac:dyDescent="0.25">
      <c r="A155" s="50">
        <v>145</v>
      </c>
      <c r="B155" s="20" t="s">
        <v>86</v>
      </c>
      <c r="C155" s="32" t="s">
        <v>18</v>
      </c>
      <c r="D155" s="51">
        <v>60</v>
      </c>
      <c r="E155" s="40" t="s">
        <v>17</v>
      </c>
      <c r="F155" s="40" t="s">
        <v>17</v>
      </c>
      <c r="G155" s="40" t="s">
        <v>17</v>
      </c>
      <c r="H155" s="40" t="s">
        <v>17</v>
      </c>
      <c r="I155" s="40" t="s">
        <v>17</v>
      </c>
      <c r="J155" s="27">
        <v>3.1E-2</v>
      </c>
      <c r="K155" s="23"/>
      <c r="L155" s="24">
        <f>K155*D155</f>
        <v>0</v>
      </c>
      <c r="M155" s="25">
        <f t="shared" si="7"/>
        <v>0</v>
      </c>
      <c r="N155" s="162">
        <v>0.25</v>
      </c>
      <c r="O155" s="145">
        <f>Table3[[#This Row],[Order Quantity (Pkts)]]*Table3[[#This Row],[Column1]]</f>
        <v>0</v>
      </c>
    </row>
    <row r="156" spans="1:15" s="26" customFormat="1" ht="14.25" customHeight="1" x14ac:dyDescent="0.25">
      <c r="A156" s="50">
        <v>146</v>
      </c>
      <c r="B156" s="20" t="s">
        <v>86</v>
      </c>
      <c r="C156" s="32" t="s">
        <v>31</v>
      </c>
      <c r="D156" s="40" t="s">
        <v>17</v>
      </c>
      <c r="E156" s="40" t="s">
        <v>17</v>
      </c>
      <c r="F156" s="40" t="s">
        <v>17</v>
      </c>
      <c r="G156" s="53">
        <v>15</v>
      </c>
      <c r="H156" s="40" t="s">
        <v>17</v>
      </c>
      <c r="I156" s="40" t="s">
        <v>17</v>
      </c>
      <c r="J156" s="27">
        <v>3.1E-2</v>
      </c>
      <c r="K156" s="23"/>
      <c r="L156" s="24">
        <f>Table3[[#This Row],[Bottle /Canisters]]*Table3[[#This Row],[BOX Quantity]]</f>
        <v>0</v>
      </c>
      <c r="M156" s="114">
        <f>K156*J156</f>
        <v>0</v>
      </c>
      <c r="N156" s="162">
        <v>0.2</v>
      </c>
      <c r="O156" s="145">
        <f>Table3[[#This Row],[Order Quantity (Pkts)]]*Table3[[#This Row],[Column1]]</f>
        <v>0</v>
      </c>
    </row>
    <row r="157" spans="1:15" s="26" customFormat="1" ht="14.25" customHeight="1" x14ac:dyDescent="0.25">
      <c r="A157" s="50">
        <v>147</v>
      </c>
      <c r="B157" s="20" t="s">
        <v>87</v>
      </c>
      <c r="C157" s="32" t="s">
        <v>27</v>
      </c>
      <c r="D157" s="51">
        <v>225</v>
      </c>
      <c r="E157" s="40" t="s">
        <v>17</v>
      </c>
      <c r="F157" s="40" t="s">
        <v>17</v>
      </c>
      <c r="G157" s="40" t="s">
        <v>17</v>
      </c>
      <c r="H157" s="40" t="s">
        <v>17</v>
      </c>
      <c r="I157" s="40" t="s">
        <v>17</v>
      </c>
      <c r="J157" s="27">
        <v>3.1E-2</v>
      </c>
      <c r="K157" s="23"/>
      <c r="L157" s="24">
        <f>K157*D157</f>
        <v>0</v>
      </c>
      <c r="M157" s="25">
        <f t="shared" si="7"/>
        <v>0</v>
      </c>
      <c r="N157" s="162">
        <v>2.5000000000000001E-2</v>
      </c>
      <c r="O157" s="146">
        <f>Table3[[#This Row],[Order Quantity (Pkts)]]*Table3[[#This Row],[Column1]]</f>
        <v>0</v>
      </c>
    </row>
    <row r="158" spans="1:15" s="26" customFormat="1" ht="14.25" customHeight="1" x14ac:dyDescent="0.25">
      <c r="A158" s="50">
        <v>148</v>
      </c>
      <c r="B158" s="20" t="s">
        <v>87</v>
      </c>
      <c r="C158" s="32" t="s">
        <v>16</v>
      </c>
      <c r="D158" s="51">
        <v>120</v>
      </c>
      <c r="E158" s="40" t="s">
        <v>17</v>
      </c>
      <c r="F158" s="40" t="s">
        <v>17</v>
      </c>
      <c r="G158" s="40" t="s">
        <v>17</v>
      </c>
      <c r="H158" s="40" t="s">
        <v>17</v>
      </c>
      <c r="I158" s="40" t="s">
        <v>17</v>
      </c>
      <c r="J158" s="27">
        <v>3.1E-2</v>
      </c>
      <c r="K158" s="23"/>
      <c r="L158" s="24">
        <f>K158*D158</f>
        <v>0</v>
      </c>
      <c r="M158" s="25">
        <f t="shared" si="7"/>
        <v>0</v>
      </c>
      <c r="N158" s="162">
        <v>0.1</v>
      </c>
      <c r="O158" s="146">
        <f>Table3[[#This Row],[Order Quantity (Pkts)]]*Table3[[#This Row],[Column1]]</f>
        <v>0</v>
      </c>
    </row>
    <row r="159" spans="1:15" s="26" customFormat="1" ht="14.25" customHeight="1" x14ac:dyDescent="0.25">
      <c r="A159" s="50">
        <v>149</v>
      </c>
      <c r="B159" s="20" t="s">
        <v>87</v>
      </c>
      <c r="C159" s="32" t="s">
        <v>18</v>
      </c>
      <c r="D159" s="51">
        <v>54</v>
      </c>
      <c r="E159" s="40" t="s">
        <v>17</v>
      </c>
      <c r="F159" s="40" t="s">
        <v>17</v>
      </c>
      <c r="G159" s="40" t="s">
        <v>17</v>
      </c>
      <c r="H159" s="40" t="s">
        <v>17</v>
      </c>
      <c r="I159" s="40" t="s">
        <v>17</v>
      </c>
      <c r="J159" s="27">
        <v>3.1E-2</v>
      </c>
      <c r="K159" s="23"/>
      <c r="L159" s="24">
        <f>K159*D159</f>
        <v>0</v>
      </c>
      <c r="M159" s="25">
        <f t="shared" si="7"/>
        <v>0</v>
      </c>
      <c r="N159" s="162">
        <v>0.25</v>
      </c>
      <c r="O159" s="145">
        <f>Table3[[#This Row],[Order Quantity (Pkts)]]*Table3[[#This Row],[Column1]]</f>
        <v>0</v>
      </c>
    </row>
    <row r="160" spans="1:15" s="26" customFormat="1" ht="14.25" customHeight="1" x14ac:dyDescent="0.25">
      <c r="A160" s="50">
        <v>150</v>
      </c>
      <c r="B160" s="20" t="s">
        <v>88</v>
      </c>
      <c r="C160" s="32" t="s">
        <v>31</v>
      </c>
      <c r="D160" s="40" t="s">
        <v>17</v>
      </c>
      <c r="E160" s="40" t="s">
        <v>17</v>
      </c>
      <c r="F160" s="41">
        <v>40</v>
      </c>
      <c r="G160" s="40" t="s">
        <v>17</v>
      </c>
      <c r="H160" s="40" t="s">
        <v>17</v>
      </c>
      <c r="I160" s="40" t="s">
        <v>17</v>
      </c>
      <c r="J160" s="27">
        <v>3.1E-2</v>
      </c>
      <c r="K160" s="23"/>
      <c r="L160" s="24">
        <f>K160*F160</f>
        <v>0</v>
      </c>
      <c r="M160" s="25">
        <f t="shared" si="7"/>
        <v>0</v>
      </c>
      <c r="N160" s="162">
        <v>0.2</v>
      </c>
      <c r="O160" s="146">
        <f>Table3[[#This Row],[Order Quantity (Pkts)]]*Table3[[#This Row],[Column1]]</f>
        <v>0</v>
      </c>
    </row>
    <row r="161" spans="1:15" s="26" customFormat="1" ht="14.25" customHeight="1" x14ac:dyDescent="0.25">
      <c r="A161" s="50">
        <v>151</v>
      </c>
      <c r="B161" s="20" t="s">
        <v>89</v>
      </c>
      <c r="C161" s="32" t="s">
        <v>41</v>
      </c>
      <c r="D161" s="51">
        <v>240</v>
      </c>
      <c r="E161" s="40" t="s">
        <v>17</v>
      </c>
      <c r="F161" s="40" t="s">
        <v>17</v>
      </c>
      <c r="G161" s="40" t="s">
        <v>17</v>
      </c>
      <c r="H161" s="40" t="s">
        <v>17</v>
      </c>
      <c r="I161" s="40" t="s">
        <v>17</v>
      </c>
      <c r="J161" s="27">
        <v>3.1E-2</v>
      </c>
      <c r="K161" s="23"/>
      <c r="L161" s="24">
        <f>K161*D161</f>
        <v>0</v>
      </c>
      <c r="M161" s="25">
        <f t="shared" si="7"/>
        <v>0</v>
      </c>
      <c r="N161" s="162">
        <v>0.06</v>
      </c>
      <c r="O161" s="145">
        <f>Table3[[#This Row],[Order Quantity (Pkts)]]*Table3[[#This Row],[Column1]]</f>
        <v>0</v>
      </c>
    </row>
    <row r="162" spans="1:15" s="26" customFormat="1" ht="14.25" customHeight="1" x14ac:dyDescent="0.25">
      <c r="A162" s="50">
        <v>152</v>
      </c>
      <c r="B162" s="20" t="s">
        <v>173</v>
      </c>
      <c r="C162" s="32" t="s">
        <v>27</v>
      </c>
      <c r="D162" s="53">
        <v>200</v>
      </c>
      <c r="E162" s="40" t="s">
        <v>17</v>
      </c>
      <c r="F162" s="40" t="s">
        <v>17</v>
      </c>
      <c r="G162" s="40" t="s">
        <v>17</v>
      </c>
      <c r="H162" s="40" t="s">
        <v>17</v>
      </c>
      <c r="I162" s="40" t="s">
        <v>17</v>
      </c>
      <c r="J162" s="27">
        <v>3.1E-2</v>
      </c>
      <c r="K162" s="23"/>
      <c r="L162" s="24">
        <f>K162*D162</f>
        <v>0</v>
      </c>
      <c r="M162" s="114">
        <f>K162*J162</f>
        <v>0</v>
      </c>
      <c r="N162" s="162">
        <v>2.5000000000000001E-2</v>
      </c>
      <c r="O162" s="145">
        <f>Table3[[#This Row],[Order Quantity (Pkts)]]*Table3[[#This Row],[Column1]]</f>
        <v>0</v>
      </c>
    </row>
    <row r="163" spans="1:15" s="26" customFormat="1" ht="14.25" customHeight="1" x14ac:dyDescent="0.25">
      <c r="A163" s="72"/>
      <c r="B163" s="73" t="s">
        <v>90</v>
      </c>
      <c r="C163" s="74"/>
      <c r="D163" s="74"/>
      <c r="E163" s="75"/>
      <c r="F163" s="74"/>
      <c r="G163" s="76"/>
      <c r="H163" s="76"/>
      <c r="I163" s="77"/>
      <c r="J163" s="77"/>
      <c r="K163" s="77"/>
      <c r="L163" s="77"/>
      <c r="M163" s="77"/>
      <c r="N163" s="164"/>
      <c r="O163" s="151"/>
    </row>
    <row r="164" spans="1:15" s="26" customFormat="1" ht="14.25" customHeight="1" x14ac:dyDescent="0.25">
      <c r="A164" s="50">
        <v>153</v>
      </c>
      <c r="B164" s="20" t="s">
        <v>91</v>
      </c>
      <c r="C164" s="32" t="s">
        <v>16</v>
      </c>
      <c r="D164" s="41">
        <v>170</v>
      </c>
      <c r="E164" s="40" t="s">
        <v>17</v>
      </c>
      <c r="F164" s="40" t="s">
        <v>17</v>
      </c>
      <c r="G164" s="40" t="s">
        <v>17</v>
      </c>
      <c r="H164" s="40" t="s">
        <v>17</v>
      </c>
      <c r="I164" s="40" t="s">
        <v>17</v>
      </c>
      <c r="J164" s="27">
        <v>3.1E-2</v>
      </c>
      <c r="K164" s="23"/>
      <c r="L164" s="24">
        <f>K164*D164</f>
        <v>0</v>
      </c>
      <c r="M164" s="25">
        <f t="shared" ref="M164:M172" si="8">K164*J164</f>
        <v>0</v>
      </c>
      <c r="N164" s="162">
        <v>0.1</v>
      </c>
      <c r="O164" s="145">
        <f>Table3[[#This Row],[Order Quantity (Pkts)]]*Table3[[#This Row],[Column1]]</f>
        <v>0</v>
      </c>
    </row>
    <row r="165" spans="1:15" s="26" customFormat="1" ht="12.6" customHeight="1" x14ac:dyDescent="0.25">
      <c r="A165" s="50">
        <v>154</v>
      </c>
      <c r="B165" s="20" t="s">
        <v>91</v>
      </c>
      <c r="C165" s="32" t="s">
        <v>31</v>
      </c>
      <c r="D165" s="40" t="s">
        <v>17</v>
      </c>
      <c r="E165" s="40" t="s">
        <v>17</v>
      </c>
      <c r="F165" s="78">
        <v>60</v>
      </c>
      <c r="G165" s="40" t="s">
        <v>17</v>
      </c>
      <c r="H165" s="40" t="s">
        <v>17</v>
      </c>
      <c r="I165" s="40" t="s">
        <v>17</v>
      </c>
      <c r="J165" s="27">
        <v>3.1E-2</v>
      </c>
      <c r="K165" s="23"/>
      <c r="L165" s="24">
        <f>K165*F165</f>
        <v>0</v>
      </c>
      <c r="M165" s="25">
        <f t="shared" si="8"/>
        <v>0</v>
      </c>
      <c r="N165" s="162">
        <v>0.2</v>
      </c>
      <c r="O165" s="145">
        <f>Table3[[#This Row],[Order Quantity (Pkts)]]*Table3[[#This Row],[Column1]]</f>
        <v>0</v>
      </c>
    </row>
    <row r="166" spans="1:15" s="26" customFormat="1" ht="14.25" customHeight="1" x14ac:dyDescent="0.25">
      <c r="A166" s="50">
        <v>155</v>
      </c>
      <c r="B166" s="20" t="s">
        <v>91</v>
      </c>
      <c r="C166" s="32" t="s">
        <v>19</v>
      </c>
      <c r="D166" s="40" t="s">
        <v>17</v>
      </c>
      <c r="E166" s="78">
        <v>35</v>
      </c>
      <c r="F166" s="40" t="s">
        <v>17</v>
      </c>
      <c r="G166" s="40" t="s">
        <v>17</v>
      </c>
      <c r="H166" s="40" t="s">
        <v>17</v>
      </c>
      <c r="I166" s="40" t="s">
        <v>17</v>
      </c>
      <c r="J166" s="27">
        <v>3.1E-2</v>
      </c>
      <c r="K166" s="23"/>
      <c r="L166" s="24">
        <f>K166*Table3[[#This Row],[Unprinted Pouch]]</f>
        <v>0</v>
      </c>
      <c r="M166" s="25">
        <f t="shared" si="8"/>
        <v>0</v>
      </c>
      <c r="N166" s="162">
        <v>0.4</v>
      </c>
      <c r="O166" s="145">
        <f>Table3[[#This Row],[Order Quantity (Pkts)]]*Table3[[#This Row],[Column1]]</f>
        <v>0</v>
      </c>
    </row>
    <row r="167" spans="1:15" s="26" customFormat="1" ht="14.25" customHeight="1" x14ac:dyDescent="0.25">
      <c r="A167" s="50">
        <v>156</v>
      </c>
      <c r="B167" s="20" t="s">
        <v>92</v>
      </c>
      <c r="C167" s="32" t="s">
        <v>76</v>
      </c>
      <c r="D167" s="40" t="s">
        <v>17</v>
      </c>
      <c r="E167" s="40" t="s">
        <v>17</v>
      </c>
      <c r="F167" s="40" t="s">
        <v>17</v>
      </c>
      <c r="G167" s="40" t="s">
        <v>17</v>
      </c>
      <c r="H167" s="40" t="s">
        <v>17</v>
      </c>
      <c r="I167" s="78">
        <v>80</v>
      </c>
      <c r="J167" s="27">
        <v>3.1E-2</v>
      </c>
      <c r="K167" s="23"/>
      <c r="L167" s="24">
        <f>K167*I167</f>
        <v>0</v>
      </c>
      <c r="M167" s="25">
        <f t="shared" si="8"/>
        <v>0</v>
      </c>
      <c r="N167" s="162">
        <v>0.09</v>
      </c>
      <c r="O167" s="146">
        <f>Table3[[#This Row],[Order Quantity (Pkts)]]*Table3[[#This Row],[Column1]]</f>
        <v>0</v>
      </c>
    </row>
    <row r="168" spans="1:15" s="26" customFormat="1" ht="14.25" customHeight="1" x14ac:dyDescent="0.25">
      <c r="A168" s="50">
        <v>157</v>
      </c>
      <c r="B168" s="20" t="s">
        <v>93</v>
      </c>
      <c r="C168" s="32" t="s">
        <v>94</v>
      </c>
      <c r="D168" s="40" t="s">
        <v>17</v>
      </c>
      <c r="E168" s="40" t="s">
        <v>17</v>
      </c>
      <c r="F168" s="40" t="s">
        <v>17</v>
      </c>
      <c r="G168" s="78">
        <v>30</v>
      </c>
      <c r="H168" s="40" t="s">
        <v>17</v>
      </c>
      <c r="I168" s="40" t="s">
        <v>17</v>
      </c>
      <c r="J168" s="22">
        <f>(36.6*21.5*14.5)/1000000</f>
        <v>1.141005E-2</v>
      </c>
      <c r="K168" s="23"/>
      <c r="L168" s="24">
        <f>K168*G168</f>
        <v>0</v>
      </c>
      <c r="M168" s="25">
        <f t="shared" si="8"/>
        <v>0</v>
      </c>
      <c r="N168" s="162">
        <v>0.12</v>
      </c>
      <c r="O168" s="146">
        <f>Table3[[#This Row],[Order Quantity (Pkts)]]*Table3[[#This Row],[Column1]]</f>
        <v>0</v>
      </c>
    </row>
    <row r="169" spans="1:15" s="26" customFormat="1" ht="14.25" customHeight="1" x14ac:dyDescent="0.25">
      <c r="A169" s="50">
        <v>158</v>
      </c>
      <c r="B169" s="20" t="s">
        <v>95</v>
      </c>
      <c r="C169" s="32" t="s">
        <v>76</v>
      </c>
      <c r="D169" s="40" t="s">
        <v>17</v>
      </c>
      <c r="E169" s="40" t="s">
        <v>17</v>
      </c>
      <c r="F169" s="40" t="s">
        <v>17</v>
      </c>
      <c r="G169" s="40" t="s">
        <v>17</v>
      </c>
      <c r="H169" s="78">
        <v>80</v>
      </c>
      <c r="I169" s="40" t="s">
        <v>17</v>
      </c>
      <c r="J169" s="27">
        <v>3.1E-2</v>
      </c>
      <c r="K169" s="23"/>
      <c r="L169" s="24">
        <f>K169*H169</f>
        <v>0</v>
      </c>
      <c r="M169" s="25">
        <f t="shared" si="8"/>
        <v>0</v>
      </c>
      <c r="N169" s="162">
        <v>0.09</v>
      </c>
      <c r="O169" s="146">
        <f>Table3[[#This Row],[Order Quantity (Pkts)]]*Table3[[#This Row],[Column1]]</f>
        <v>0</v>
      </c>
    </row>
    <row r="170" spans="1:15" s="26" customFormat="1" ht="14.25" customHeight="1" x14ac:dyDescent="0.25">
      <c r="A170" s="50">
        <v>159</v>
      </c>
      <c r="B170" s="20" t="s">
        <v>96</v>
      </c>
      <c r="C170" s="32" t="s">
        <v>97</v>
      </c>
      <c r="D170" s="41">
        <v>240</v>
      </c>
      <c r="E170" s="40" t="s">
        <v>17</v>
      </c>
      <c r="F170" s="40" t="s">
        <v>17</v>
      </c>
      <c r="G170" s="40" t="s">
        <v>17</v>
      </c>
      <c r="H170" s="40" t="s">
        <v>17</v>
      </c>
      <c r="I170" s="40" t="s">
        <v>17</v>
      </c>
      <c r="J170" s="27">
        <v>3.1E-2</v>
      </c>
      <c r="K170" s="23"/>
      <c r="L170" s="24">
        <f>K170*D170</f>
        <v>0</v>
      </c>
      <c r="M170" s="25">
        <f t="shared" si="8"/>
        <v>0</v>
      </c>
      <c r="N170" s="162">
        <v>0.02</v>
      </c>
      <c r="O170" s="146">
        <f>Table3[[#This Row],[Order Quantity (Pkts)]]*Table3[[#This Row],[Column1]]</f>
        <v>0</v>
      </c>
    </row>
    <row r="171" spans="1:15" s="26" customFormat="1" ht="14.25" customHeight="1" x14ac:dyDescent="0.25">
      <c r="A171" s="50">
        <v>160</v>
      </c>
      <c r="B171" s="20" t="s">
        <v>96</v>
      </c>
      <c r="C171" s="32" t="s">
        <v>21</v>
      </c>
      <c r="D171" s="41">
        <v>160</v>
      </c>
      <c r="E171" s="40" t="s">
        <v>17</v>
      </c>
      <c r="F171" s="40" t="s">
        <v>17</v>
      </c>
      <c r="G171" s="40" t="s">
        <v>17</v>
      </c>
      <c r="H171" s="40" t="s">
        <v>17</v>
      </c>
      <c r="I171" s="40" t="s">
        <v>17</v>
      </c>
      <c r="J171" s="27">
        <v>3.1E-2</v>
      </c>
      <c r="K171" s="23"/>
      <c r="L171" s="24">
        <f>K171*D171</f>
        <v>0</v>
      </c>
      <c r="M171" s="25">
        <f t="shared" si="8"/>
        <v>0</v>
      </c>
      <c r="N171" s="162">
        <v>0.05</v>
      </c>
      <c r="O171" s="146">
        <f>Table3[[#This Row],[Order Quantity (Pkts)]]*Table3[[#This Row],[Column1]]</f>
        <v>0</v>
      </c>
    </row>
    <row r="172" spans="1:15" s="26" customFormat="1" ht="14.25" customHeight="1" x14ac:dyDescent="0.25">
      <c r="A172" s="50">
        <v>161</v>
      </c>
      <c r="B172" s="20" t="s">
        <v>96</v>
      </c>
      <c r="C172" s="32" t="s">
        <v>16</v>
      </c>
      <c r="D172" s="41">
        <v>108</v>
      </c>
      <c r="E172" s="40" t="s">
        <v>17</v>
      </c>
      <c r="F172" s="40" t="s">
        <v>17</v>
      </c>
      <c r="G172" s="40" t="s">
        <v>17</v>
      </c>
      <c r="H172" s="40" t="s">
        <v>17</v>
      </c>
      <c r="I172" s="40" t="s">
        <v>17</v>
      </c>
      <c r="J172" s="27">
        <v>3.1E-2</v>
      </c>
      <c r="K172" s="23"/>
      <c r="L172" s="24">
        <f>K172*D172</f>
        <v>0</v>
      </c>
      <c r="M172" s="25">
        <f t="shared" si="8"/>
        <v>0</v>
      </c>
      <c r="N172" s="162">
        <v>0.1</v>
      </c>
      <c r="O172" s="146">
        <f>Table3[[#This Row],[Order Quantity (Pkts)]]*Table3[[#This Row],[Column1]]</f>
        <v>0</v>
      </c>
    </row>
    <row r="173" spans="1:15" s="26" customFormat="1" ht="14.25" customHeight="1" x14ac:dyDescent="0.25">
      <c r="A173" s="72"/>
      <c r="B173" s="73" t="s">
        <v>98</v>
      </c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165"/>
      <c r="O173" s="74"/>
    </row>
    <row r="174" spans="1:15" s="26" customFormat="1" ht="16.2" customHeight="1" x14ac:dyDescent="0.25">
      <c r="A174" s="50">
        <v>162</v>
      </c>
      <c r="B174" s="20" t="s">
        <v>99</v>
      </c>
      <c r="C174" s="32" t="s">
        <v>31</v>
      </c>
      <c r="D174" s="40" t="s">
        <v>17</v>
      </c>
      <c r="E174" s="40" t="s">
        <v>17</v>
      </c>
      <c r="F174" s="40" t="s">
        <v>17</v>
      </c>
      <c r="G174" s="41">
        <v>15</v>
      </c>
      <c r="H174" s="40" t="s">
        <v>17</v>
      </c>
      <c r="I174" s="40" t="s">
        <v>17</v>
      </c>
      <c r="J174" s="22">
        <f t="shared" ref="J174:J181" si="9">(14.5*36*21.5)/1000000</f>
        <v>1.1223E-2</v>
      </c>
      <c r="K174" s="23"/>
      <c r="L174" s="24">
        <f t="shared" ref="L174:L181" si="10">K174*G174</f>
        <v>0</v>
      </c>
      <c r="M174" s="25">
        <f t="shared" ref="M174:M181" si="11">K174*J174</f>
        <v>0</v>
      </c>
      <c r="N174" s="162">
        <v>0.2</v>
      </c>
      <c r="O174" s="146">
        <f>Table3[[#This Row],[Order Quantity (Pkts)]]*Table3[[#This Row],[Column1]]</f>
        <v>0</v>
      </c>
    </row>
    <row r="175" spans="1:15" s="26" customFormat="1" ht="16.2" customHeight="1" x14ac:dyDescent="0.25">
      <c r="A175" s="50">
        <v>163</v>
      </c>
      <c r="B175" s="20" t="s">
        <v>100</v>
      </c>
      <c r="C175" s="32" t="s">
        <v>31</v>
      </c>
      <c r="D175" s="40" t="s">
        <v>17</v>
      </c>
      <c r="E175" s="40" t="s">
        <v>17</v>
      </c>
      <c r="F175" s="40" t="s">
        <v>17</v>
      </c>
      <c r="G175" s="41">
        <v>15</v>
      </c>
      <c r="H175" s="40" t="s">
        <v>17</v>
      </c>
      <c r="I175" s="40" t="s">
        <v>17</v>
      </c>
      <c r="J175" s="22">
        <f t="shared" si="9"/>
        <v>1.1223E-2</v>
      </c>
      <c r="K175" s="23"/>
      <c r="L175" s="24">
        <f t="shared" si="10"/>
        <v>0</v>
      </c>
      <c r="M175" s="25">
        <f t="shared" si="11"/>
        <v>0</v>
      </c>
      <c r="N175" s="162">
        <v>0.2</v>
      </c>
      <c r="O175" s="146">
        <f>Table3[[#This Row],[Order Quantity (Pkts)]]*Table3[[#This Row],[Column1]]</f>
        <v>0</v>
      </c>
    </row>
    <row r="176" spans="1:15" s="26" customFormat="1" ht="16.2" customHeight="1" x14ac:dyDescent="0.25">
      <c r="A176" s="50">
        <v>164</v>
      </c>
      <c r="B176" s="20" t="s">
        <v>101</v>
      </c>
      <c r="C176" s="32" t="s">
        <v>31</v>
      </c>
      <c r="D176" s="40" t="s">
        <v>17</v>
      </c>
      <c r="E176" s="40" t="s">
        <v>17</v>
      </c>
      <c r="F176" s="40" t="s">
        <v>17</v>
      </c>
      <c r="G176" s="41">
        <v>15</v>
      </c>
      <c r="H176" s="40" t="s">
        <v>17</v>
      </c>
      <c r="I176" s="40" t="s">
        <v>17</v>
      </c>
      <c r="J176" s="22">
        <f t="shared" si="9"/>
        <v>1.1223E-2</v>
      </c>
      <c r="K176" s="23"/>
      <c r="L176" s="24">
        <f t="shared" si="10"/>
        <v>0</v>
      </c>
      <c r="M176" s="25">
        <f t="shared" si="11"/>
        <v>0</v>
      </c>
      <c r="N176" s="162">
        <v>0.2</v>
      </c>
      <c r="O176" s="146">
        <f>Table3[[#This Row],[Order Quantity (Pkts)]]*Table3[[#This Row],[Column1]]</f>
        <v>0</v>
      </c>
    </row>
    <row r="177" spans="1:15" s="26" customFormat="1" ht="16.2" customHeight="1" x14ac:dyDescent="0.25">
      <c r="A177" s="50">
        <v>165</v>
      </c>
      <c r="B177" s="20" t="s">
        <v>102</v>
      </c>
      <c r="C177" s="32" t="s">
        <v>103</v>
      </c>
      <c r="D177" s="40" t="s">
        <v>17</v>
      </c>
      <c r="E177" s="40" t="s">
        <v>17</v>
      </c>
      <c r="F177" s="40" t="s">
        <v>17</v>
      </c>
      <c r="G177" s="41">
        <v>15</v>
      </c>
      <c r="H177" s="40" t="s">
        <v>17</v>
      </c>
      <c r="I177" s="40" t="s">
        <v>17</v>
      </c>
      <c r="J177" s="22">
        <f t="shared" si="9"/>
        <v>1.1223E-2</v>
      </c>
      <c r="K177" s="23"/>
      <c r="L177" s="24">
        <f t="shared" si="10"/>
        <v>0</v>
      </c>
      <c r="M177" s="25">
        <f t="shared" si="11"/>
        <v>0</v>
      </c>
      <c r="N177" s="162">
        <v>0.15</v>
      </c>
      <c r="O177" s="146">
        <f>Table3[[#This Row],[Order Quantity (Pkts)]]*Table3[[#This Row],[Column1]]</f>
        <v>0</v>
      </c>
    </row>
    <row r="178" spans="1:15" s="26" customFormat="1" ht="16.2" customHeight="1" x14ac:dyDescent="0.25">
      <c r="A178" s="50">
        <v>166</v>
      </c>
      <c r="B178" s="20" t="s">
        <v>104</v>
      </c>
      <c r="C178" s="32" t="s">
        <v>16</v>
      </c>
      <c r="D178" s="40" t="s">
        <v>17</v>
      </c>
      <c r="E178" s="40" t="s">
        <v>17</v>
      </c>
      <c r="F178" s="40" t="s">
        <v>17</v>
      </c>
      <c r="G178" s="41">
        <v>15</v>
      </c>
      <c r="H178" s="40" t="s">
        <v>17</v>
      </c>
      <c r="I178" s="40" t="s">
        <v>17</v>
      </c>
      <c r="J178" s="22">
        <f t="shared" si="9"/>
        <v>1.1223E-2</v>
      </c>
      <c r="K178" s="23"/>
      <c r="L178" s="24">
        <f t="shared" si="10"/>
        <v>0</v>
      </c>
      <c r="M178" s="25">
        <f t="shared" si="11"/>
        <v>0</v>
      </c>
      <c r="N178" s="162">
        <v>0.1</v>
      </c>
      <c r="O178" s="146">
        <f>Table3[[#This Row],[Order Quantity (Pkts)]]*Table3[[#This Row],[Column1]]</f>
        <v>0</v>
      </c>
    </row>
    <row r="179" spans="1:15" s="26" customFormat="1" ht="16.2" customHeight="1" x14ac:dyDescent="0.25">
      <c r="A179" s="50">
        <v>167</v>
      </c>
      <c r="B179" s="20" t="s">
        <v>105</v>
      </c>
      <c r="C179" s="32" t="s">
        <v>31</v>
      </c>
      <c r="D179" s="40" t="s">
        <v>17</v>
      </c>
      <c r="E179" s="40" t="s">
        <v>17</v>
      </c>
      <c r="F179" s="40" t="s">
        <v>17</v>
      </c>
      <c r="G179" s="41">
        <v>15</v>
      </c>
      <c r="H179" s="40" t="s">
        <v>17</v>
      </c>
      <c r="I179" s="40" t="s">
        <v>17</v>
      </c>
      <c r="J179" s="22">
        <f t="shared" si="9"/>
        <v>1.1223E-2</v>
      </c>
      <c r="K179" s="23"/>
      <c r="L179" s="24">
        <f t="shared" si="10"/>
        <v>0</v>
      </c>
      <c r="M179" s="25">
        <f t="shared" si="11"/>
        <v>0</v>
      </c>
      <c r="N179" s="162">
        <v>0.2</v>
      </c>
      <c r="O179" s="146">
        <f>Table3[[#This Row],[Order Quantity (Pkts)]]*Table3[[#This Row],[Column1]]</f>
        <v>0</v>
      </c>
    </row>
    <row r="180" spans="1:15" s="26" customFormat="1" ht="16.2" customHeight="1" x14ac:dyDescent="0.25">
      <c r="A180" s="50">
        <v>168</v>
      </c>
      <c r="B180" s="20" t="s">
        <v>106</v>
      </c>
      <c r="C180" s="32" t="s">
        <v>31</v>
      </c>
      <c r="D180" s="40" t="s">
        <v>17</v>
      </c>
      <c r="E180" s="40" t="s">
        <v>17</v>
      </c>
      <c r="F180" s="40" t="s">
        <v>17</v>
      </c>
      <c r="G180" s="41">
        <v>15</v>
      </c>
      <c r="H180" s="40" t="s">
        <v>17</v>
      </c>
      <c r="I180" s="40" t="s">
        <v>17</v>
      </c>
      <c r="J180" s="22">
        <f t="shared" si="9"/>
        <v>1.1223E-2</v>
      </c>
      <c r="K180" s="23"/>
      <c r="L180" s="24">
        <f t="shared" si="10"/>
        <v>0</v>
      </c>
      <c r="M180" s="25">
        <f t="shared" si="11"/>
        <v>0</v>
      </c>
      <c r="N180" s="162">
        <v>0.2</v>
      </c>
      <c r="O180" s="146">
        <f>Table3[[#This Row],[Order Quantity (Pkts)]]*Table3[[#This Row],[Column1]]</f>
        <v>0</v>
      </c>
    </row>
    <row r="181" spans="1:15" s="26" customFormat="1" ht="16.2" customHeight="1" x14ac:dyDescent="0.25">
      <c r="A181" s="50">
        <v>169</v>
      </c>
      <c r="B181" s="20" t="s">
        <v>107</v>
      </c>
      <c r="C181" s="32" t="s">
        <v>103</v>
      </c>
      <c r="D181" s="40" t="s">
        <v>17</v>
      </c>
      <c r="E181" s="40" t="s">
        <v>17</v>
      </c>
      <c r="F181" s="40" t="s">
        <v>17</v>
      </c>
      <c r="G181" s="41">
        <v>15</v>
      </c>
      <c r="H181" s="40" t="s">
        <v>17</v>
      </c>
      <c r="I181" s="40" t="s">
        <v>17</v>
      </c>
      <c r="J181" s="22">
        <f t="shared" si="9"/>
        <v>1.1223E-2</v>
      </c>
      <c r="K181" s="23"/>
      <c r="L181" s="24">
        <f t="shared" si="10"/>
        <v>0</v>
      </c>
      <c r="M181" s="25">
        <f t="shared" si="11"/>
        <v>0</v>
      </c>
      <c r="N181" s="162">
        <v>0.15</v>
      </c>
      <c r="O181" s="146">
        <f>Table3[[#This Row],[Order Quantity (Pkts)]]*Table3[[#This Row],[Column1]]</f>
        <v>0</v>
      </c>
    </row>
    <row r="182" spans="1:15" s="26" customFormat="1" ht="14.25" customHeight="1" x14ac:dyDescent="0.25">
      <c r="A182" s="139"/>
      <c r="B182" s="79" t="s">
        <v>108</v>
      </c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165"/>
      <c r="O182" s="152"/>
    </row>
    <row r="183" spans="1:15" s="26" customFormat="1" ht="14.25" customHeight="1" x14ac:dyDescent="0.25">
      <c r="A183" s="50">
        <v>170</v>
      </c>
      <c r="B183" s="54" t="s">
        <v>109</v>
      </c>
      <c r="C183" s="32" t="s">
        <v>103</v>
      </c>
      <c r="D183" s="40" t="s">
        <v>17</v>
      </c>
      <c r="E183" s="40" t="s">
        <v>17</v>
      </c>
      <c r="F183" s="51">
        <v>20</v>
      </c>
      <c r="G183" s="40" t="s">
        <v>17</v>
      </c>
      <c r="H183" s="40" t="s">
        <v>17</v>
      </c>
      <c r="I183" s="40" t="s">
        <v>17</v>
      </c>
      <c r="J183" s="27">
        <v>3.1E-2</v>
      </c>
      <c r="K183" s="23"/>
      <c r="L183" s="24">
        <f t="shared" ref="L183:L194" si="12">K183*F183</f>
        <v>0</v>
      </c>
      <c r="M183" s="25">
        <f t="shared" ref="M183:M194" si="13">K183*J183</f>
        <v>0</v>
      </c>
      <c r="N183" s="162">
        <v>0.15</v>
      </c>
      <c r="O183" s="146">
        <f>Table3[[#This Row],[Order Quantity (Pkts)]]*Table3[[#This Row],[Column1]]</f>
        <v>0</v>
      </c>
    </row>
    <row r="184" spans="1:15" s="26" customFormat="1" ht="14.25" customHeight="1" x14ac:dyDescent="0.25">
      <c r="A184" s="50">
        <v>171</v>
      </c>
      <c r="B184" s="42" t="s">
        <v>110</v>
      </c>
      <c r="C184" s="32" t="s">
        <v>103</v>
      </c>
      <c r="D184" s="40" t="s">
        <v>17</v>
      </c>
      <c r="E184" s="40" t="s">
        <v>17</v>
      </c>
      <c r="F184" s="51">
        <v>20</v>
      </c>
      <c r="G184" s="40" t="s">
        <v>17</v>
      </c>
      <c r="H184" s="40" t="s">
        <v>17</v>
      </c>
      <c r="I184" s="40" t="s">
        <v>17</v>
      </c>
      <c r="J184" s="27">
        <v>3.1E-2</v>
      </c>
      <c r="K184" s="23"/>
      <c r="L184" s="24">
        <f t="shared" si="12"/>
        <v>0</v>
      </c>
      <c r="M184" s="25">
        <f t="shared" si="13"/>
        <v>0</v>
      </c>
      <c r="N184" s="162">
        <v>0.15</v>
      </c>
      <c r="O184" s="146">
        <f>Table3[[#This Row],[Order Quantity (Pkts)]]*Table3[[#This Row],[Column1]]</f>
        <v>0</v>
      </c>
    </row>
    <row r="185" spans="1:15" s="26" customFormat="1" ht="14.25" customHeight="1" x14ac:dyDescent="0.25">
      <c r="A185" s="50">
        <v>172</v>
      </c>
      <c r="B185" s="54" t="s">
        <v>111</v>
      </c>
      <c r="C185" s="32" t="s">
        <v>21</v>
      </c>
      <c r="D185" s="40" t="s">
        <v>17</v>
      </c>
      <c r="E185" s="40" t="s">
        <v>17</v>
      </c>
      <c r="F185" s="51">
        <v>18</v>
      </c>
      <c r="G185" s="40" t="s">
        <v>17</v>
      </c>
      <c r="H185" s="40" t="s">
        <v>17</v>
      </c>
      <c r="I185" s="40" t="s">
        <v>17</v>
      </c>
      <c r="J185" s="27">
        <v>3.1E-2</v>
      </c>
      <c r="K185" s="23"/>
      <c r="L185" s="24">
        <f t="shared" si="12"/>
        <v>0</v>
      </c>
      <c r="M185" s="25">
        <f t="shared" si="13"/>
        <v>0</v>
      </c>
      <c r="N185" s="162">
        <v>0.05</v>
      </c>
      <c r="O185" s="146">
        <f>Table3[[#This Row],[Order Quantity (Pkts)]]*Table3[[#This Row],[Column1]]</f>
        <v>0</v>
      </c>
    </row>
    <row r="186" spans="1:15" s="26" customFormat="1" ht="14.25" customHeight="1" x14ac:dyDescent="0.25">
      <c r="A186" s="50">
        <v>173</v>
      </c>
      <c r="B186" s="54" t="s">
        <v>112</v>
      </c>
      <c r="C186" s="32" t="s">
        <v>16</v>
      </c>
      <c r="D186" s="40" t="s">
        <v>17</v>
      </c>
      <c r="E186" s="40" t="s">
        <v>17</v>
      </c>
      <c r="F186" s="51">
        <v>20</v>
      </c>
      <c r="G186" s="40" t="s">
        <v>17</v>
      </c>
      <c r="H186" s="40" t="s">
        <v>17</v>
      </c>
      <c r="I186" s="40" t="s">
        <v>17</v>
      </c>
      <c r="J186" s="27">
        <v>3.1E-2</v>
      </c>
      <c r="K186" s="23"/>
      <c r="L186" s="24">
        <f t="shared" si="12"/>
        <v>0</v>
      </c>
      <c r="M186" s="25">
        <f t="shared" si="13"/>
        <v>0</v>
      </c>
      <c r="N186" s="162">
        <v>0.1</v>
      </c>
      <c r="O186" s="146">
        <f>Table3[[#This Row],[Order Quantity (Pkts)]]*Table3[[#This Row],[Column1]]</f>
        <v>0</v>
      </c>
    </row>
    <row r="187" spans="1:15" s="26" customFormat="1" ht="14.25" customHeight="1" x14ac:dyDescent="0.25">
      <c r="A187" s="50">
        <v>174</v>
      </c>
      <c r="B187" s="42" t="s">
        <v>113</v>
      </c>
      <c r="C187" s="61" t="s">
        <v>21</v>
      </c>
      <c r="D187" s="40" t="s">
        <v>17</v>
      </c>
      <c r="E187" s="40" t="s">
        <v>17</v>
      </c>
      <c r="F187" s="51">
        <v>100</v>
      </c>
      <c r="G187" s="40" t="s">
        <v>17</v>
      </c>
      <c r="H187" s="40" t="s">
        <v>17</v>
      </c>
      <c r="I187" s="40" t="s">
        <v>17</v>
      </c>
      <c r="J187" s="27">
        <v>3.1E-2</v>
      </c>
      <c r="K187" s="23"/>
      <c r="L187" s="24">
        <f t="shared" si="12"/>
        <v>0</v>
      </c>
      <c r="M187" s="25">
        <f t="shared" si="13"/>
        <v>0</v>
      </c>
      <c r="N187" s="162">
        <v>0.05</v>
      </c>
      <c r="O187" s="146">
        <f>Table3[[#This Row],[Order Quantity (Pkts)]]*Table3[[#This Row],[Column1]]</f>
        <v>0</v>
      </c>
    </row>
    <row r="188" spans="1:15" s="26" customFormat="1" ht="14.25" customHeight="1" x14ac:dyDescent="0.25">
      <c r="A188" s="50">
        <v>175</v>
      </c>
      <c r="B188" s="42" t="s">
        <v>113</v>
      </c>
      <c r="C188" s="32" t="s">
        <v>16</v>
      </c>
      <c r="D188" s="40"/>
      <c r="E188" s="40"/>
      <c r="F188" s="51">
        <v>50</v>
      </c>
      <c r="G188" s="40"/>
      <c r="H188" s="40"/>
      <c r="I188" s="40"/>
      <c r="J188" s="27">
        <v>3.1E-2</v>
      </c>
      <c r="K188" s="23"/>
      <c r="L188" s="24">
        <f t="shared" si="12"/>
        <v>0</v>
      </c>
      <c r="M188" s="25">
        <f t="shared" si="13"/>
        <v>0</v>
      </c>
      <c r="N188" s="162">
        <v>0.1</v>
      </c>
      <c r="O188" s="146">
        <f>Table3[[#This Row],[Order Quantity (Pkts)]]*Table3[[#This Row],[Column1]]</f>
        <v>0</v>
      </c>
    </row>
    <row r="189" spans="1:15" s="26" customFormat="1" ht="14.25" customHeight="1" x14ac:dyDescent="0.25">
      <c r="A189" s="50">
        <v>176</v>
      </c>
      <c r="B189" s="42" t="s">
        <v>114</v>
      </c>
      <c r="C189" s="61" t="s">
        <v>21</v>
      </c>
      <c r="D189" s="40" t="s">
        <v>17</v>
      </c>
      <c r="E189" s="40" t="s">
        <v>17</v>
      </c>
      <c r="F189" s="51">
        <v>100</v>
      </c>
      <c r="G189" s="40" t="s">
        <v>17</v>
      </c>
      <c r="H189" s="40" t="s">
        <v>17</v>
      </c>
      <c r="I189" s="40" t="s">
        <v>17</v>
      </c>
      <c r="J189" s="27">
        <v>3.1E-2</v>
      </c>
      <c r="K189" s="23"/>
      <c r="L189" s="24">
        <f t="shared" si="12"/>
        <v>0</v>
      </c>
      <c r="M189" s="25">
        <f t="shared" si="13"/>
        <v>0</v>
      </c>
      <c r="N189" s="162">
        <v>0.05</v>
      </c>
      <c r="O189" s="146">
        <f>Table3[[#This Row],[Order Quantity (Pkts)]]*Table3[[#This Row],[Column1]]</f>
        <v>0</v>
      </c>
    </row>
    <row r="190" spans="1:15" s="26" customFormat="1" ht="14.25" customHeight="1" x14ac:dyDescent="0.25">
      <c r="A190" s="50">
        <v>177</v>
      </c>
      <c r="B190" s="42" t="s">
        <v>114</v>
      </c>
      <c r="C190" s="32" t="s">
        <v>16</v>
      </c>
      <c r="D190" s="40"/>
      <c r="E190" s="40"/>
      <c r="F190" s="51">
        <v>50</v>
      </c>
      <c r="G190" s="40"/>
      <c r="H190" s="40"/>
      <c r="I190" s="40"/>
      <c r="J190" s="27">
        <v>3.1E-2</v>
      </c>
      <c r="K190" s="23"/>
      <c r="L190" s="24">
        <f t="shared" si="12"/>
        <v>0</v>
      </c>
      <c r="M190" s="25">
        <f t="shared" si="13"/>
        <v>0</v>
      </c>
      <c r="N190" s="162">
        <v>0.1</v>
      </c>
      <c r="O190" s="146">
        <f>Table3[[#This Row],[Order Quantity (Pkts)]]*Table3[[#This Row],[Column1]]</f>
        <v>0</v>
      </c>
    </row>
    <row r="191" spans="1:15" s="26" customFormat="1" ht="14.25" customHeight="1" x14ac:dyDescent="0.25">
      <c r="A191" s="50">
        <v>178</v>
      </c>
      <c r="B191" s="42" t="s">
        <v>115</v>
      </c>
      <c r="C191" s="61" t="s">
        <v>21</v>
      </c>
      <c r="D191" s="40" t="s">
        <v>17</v>
      </c>
      <c r="E191" s="40" t="s">
        <v>17</v>
      </c>
      <c r="F191" s="51">
        <v>100</v>
      </c>
      <c r="G191" s="40" t="s">
        <v>17</v>
      </c>
      <c r="H191" s="40" t="s">
        <v>17</v>
      </c>
      <c r="I191" s="40" t="s">
        <v>17</v>
      </c>
      <c r="J191" s="27">
        <v>3.1E-2</v>
      </c>
      <c r="K191" s="23"/>
      <c r="L191" s="24">
        <f t="shared" si="12"/>
        <v>0</v>
      </c>
      <c r="M191" s="25">
        <f t="shared" si="13"/>
        <v>0</v>
      </c>
      <c r="N191" s="162">
        <v>0.05</v>
      </c>
      <c r="O191" s="146">
        <f>Table3[[#This Row],[Order Quantity (Pkts)]]*Table3[[#This Row],[Column1]]</f>
        <v>0</v>
      </c>
    </row>
    <row r="192" spans="1:15" s="26" customFormat="1" ht="14.25" customHeight="1" x14ac:dyDescent="0.25">
      <c r="A192" s="50">
        <v>179</v>
      </c>
      <c r="B192" s="42" t="s">
        <v>115</v>
      </c>
      <c r="C192" s="32" t="s">
        <v>16</v>
      </c>
      <c r="D192" s="40"/>
      <c r="E192" s="40"/>
      <c r="F192" s="51">
        <v>50</v>
      </c>
      <c r="G192" s="40"/>
      <c r="H192" s="40"/>
      <c r="I192" s="40"/>
      <c r="J192" s="27">
        <v>3.1E-2</v>
      </c>
      <c r="K192" s="23"/>
      <c r="L192" s="24">
        <f t="shared" si="12"/>
        <v>0</v>
      </c>
      <c r="M192" s="25">
        <f t="shared" si="13"/>
        <v>0</v>
      </c>
      <c r="N192" s="162">
        <v>0.1</v>
      </c>
      <c r="O192" s="146">
        <f>Table3[[#This Row],[Order Quantity (Pkts)]]*Table3[[#This Row],[Column1]]</f>
        <v>0</v>
      </c>
    </row>
    <row r="193" spans="1:15" s="26" customFormat="1" ht="14.25" customHeight="1" x14ac:dyDescent="0.25">
      <c r="A193" s="50">
        <v>180</v>
      </c>
      <c r="B193" s="42" t="s">
        <v>116</v>
      </c>
      <c r="C193" s="61" t="s">
        <v>21</v>
      </c>
      <c r="D193" s="40" t="s">
        <v>17</v>
      </c>
      <c r="E193" s="40" t="s">
        <v>17</v>
      </c>
      <c r="F193" s="51">
        <v>100</v>
      </c>
      <c r="G193" s="40" t="s">
        <v>17</v>
      </c>
      <c r="H193" s="40" t="s">
        <v>17</v>
      </c>
      <c r="I193" s="40" t="s">
        <v>17</v>
      </c>
      <c r="J193" s="27">
        <v>3.1E-2</v>
      </c>
      <c r="K193" s="23"/>
      <c r="L193" s="24">
        <f t="shared" si="12"/>
        <v>0</v>
      </c>
      <c r="M193" s="25">
        <f t="shared" si="13"/>
        <v>0</v>
      </c>
      <c r="N193" s="162">
        <v>0.05</v>
      </c>
      <c r="O193" s="146">
        <f>Table3[[#This Row],[Order Quantity (Pkts)]]*Table3[[#This Row],[Column1]]</f>
        <v>0</v>
      </c>
    </row>
    <row r="194" spans="1:15" s="26" customFormat="1" ht="14.25" customHeight="1" x14ac:dyDescent="0.25">
      <c r="A194" s="50">
        <v>181</v>
      </c>
      <c r="B194" s="42" t="s">
        <v>116</v>
      </c>
      <c r="C194" s="32" t="s">
        <v>16</v>
      </c>
      <c r="D194" s="40"/>
      <c r="E194" s="40"/>
      <c r="F194" s="51">
        <v>50</v>
      </c>
      <c r="G194" s="40"/>
      <c r="H194" s="40"/>
      <c r="I194" s="40"/>
      <c r="J194" s="27">
        <v>3.1E-2</v>
      </c>
      <c r="K194" s="23"/>
      <c r="L194" s="24">
        <f t="shared" si="12"/>
        <v>0</v>
      </c>
      <c r="M194" s="25">
        <f t="shared" si="13"/>
        <v>0</v>
      </c>
      <c r="N194" s="162">
        <v>0.1</v>
      </c>
      <c r="O194" s="146">
        <f>Table3[[#This Row],[Order Quantity (Pkts)]]*Table3[[#This Row],[Column1]]</f>
        <v>0</v>
      </c>
    </row>
    <row r="195" spans="1:15" s="26" customFormat="1" ht="14.25" customHeight="1" x14ac:dyDescent="0.25">
      <c r="A195" s="139"/>
      <c r="B195" s="79" t="s">
        <v>117</v>
      </c>
      <c r="C195" s="74"/>
      <c r="D195" s="74"/>
      <c r="E195" s="74"/>
      <c r="F195" s="74"/>
      <c r="G195" s="74"/>
      <c r="H195" s="74"/>
      <c r="I195" s="74"/>
      <c r="J195" s="75"/>
      <c r="K195" s="75"/>
      <c r="L195" s="75"/>
      <c r="M195" s="75"/>
      <c r="N195" s="152"/>
      <c r="O195" s="152"/>
    </row>
    <row r="196" spans="1:15" s="26" customFormat="1" ht="14.25" customHeight="1" x14ac:dyDescent="0.25">
      <c r="A196" s="50">
        <v>182</v>
      </c>
      <c r="B196" s="54" t="s">
        <v>118</v>
      </c>
      <c r="C196" s="32" t="s">
        <v>16</v>
      </c>
      <c r="D196" s="51">
        <v>36</v>
      </c>
      <c r="E196" s="40" t="s">
        <v>17</v>
      </c>
      <c r="F196" s="40" t="s">
        <v>17</v>
      </c>
      <c r="G196" s="40" t="s">
        <v>17</v>
      </c>
      <c r="H196" s="40" t="s">
        <v>17</v>
      </c>
      <c r="I196" s="40" t="s">
        <v>17</v>
      </c>
      <c r="J196" s="27">
        <v>3.1E-2</v>
      </c>
      <c r="K196" s="23"/>
      <c r="L196" s="24">
        <f>K196*D196</f>
        <v>0</v>
      </c>
      <c r="M196" s="25">
        <f>K196*J196</f>
        <v>0</v>
      </c>
      <c r="N196" s="162">
        <v>0.1</v>
      </c>
      <c r="O196" s="146">
        <f>Table3[[#This Row],[Order Quantity (Pkts)]]*Table3[[#This Row],[Column1]]</f>
        <v>0</v>
      </c>
    </row>
    <row r="197" spans="1:15" s="26" customFormat="1" ht="14.25" customHeight="1" x14ac:dyDescent="0.25">
      <c r="A197" s="50">
        <v>183</v>
      </c>
      <c r="B197" s="20" t="s">
        <v>119</v>
      </c>
      <c r="C197" s="32" t="s">
        <v>120</v>
      </c>
      <c r="D197" s="52">
        <v>36</v>
      </c>
      <c r="E197" s="40" t="s">
        <v>17</v>
      </c>
      <c r="F197" s="40" t="s">
        <v>17</v>
      </c>
      <c r="G197" s="40" t="s">
        <v>17</v>
      </c>
      <c r="H197" s="40" t="s">
        <v>17</v>
      </c>
      <c r="I197" s="40" t="s">
        <v>17</v>
      </c>
      <c r="J197" s="27">
        <v>3.1E-2</v>
      </c>
      <c r="K197" s="23"/>
      <c r="L197" s="24">
        <f>K197*D197</f>
        <v>0</v>
      </c>
      <c r="M197" s="25">
        <f>K197*J197</f>
        <v>0</v>
      </c>
      <c r="N197" s="162">
        <v>0.13</v>
      </c>
      <c r="O197" s="146">
        <f>Table3[[#This Row],[Order Quantity (Pkts)]]*Table3[[#This Row],[Column1]]</f>
        <v>0</v>
      </c>
    </row>
    <row r="198" spans="1:15" s="26" customFormat="1" ht="14.25" customHeight="1" x14ac:dyDescent="0.25">
      <c r="A198" s="50">
        <v>184</v>
      </c>
      <c r="B198" s="20" t="s">
        <v>119</v>
      </c>
      <c r="C198" s="32" t="s">
        <v>121</v>
      </c>
      <c r="D198" s="52">
        <v>12</v>
      </c>
      <c r="E198" s="40" t="s">
        <v>17</v>
      </c>
      <c r="F198" s="40" t="s">
        <v>17</v>
      </c>
      <c r="G198" s="40" t="s">
        <v>17</v>
      </c>
      <c r="H198" s="40" t="s">
        <v>17</v>
      </c>
      <c r="I198" s="40" t="s">
        <v>17</v>
      </c>
      <c r="J198" s="27">
        <v>3.1E-2</v>
      </c>
      <c r="K198" s="23"/>
      <c r="L198" s="24">
        <f>K198*D198</f>
        <v>0</v>
      </c>
      <c r="M198" s="25">
        <f>K198*J198</f>
        <v>0</v>
      </c>
      <c r="N198" s="162">
        <v>0.13</v>
      </c>
      <c r="O198" s="146">
        <f>Table3[[#This Row],[Order Quantity (Pkts)]]*Table3[[#This Row],[Column1]]</f>
        <v>0</v>
      </c>
    </row>
    <row r="199" spans="1:15" s="26" customFormat="1" ht="14.25" customHeight="1" x14ac:dyDescent="0.25">
      <c r="A199" s="50">
        <v>185</v>
      </c>
      <c r="B199" s="20" t="s">
        <v>122</v>
      </c>
      <c r="C199" s="32" t="s">
        <v>19</v>
      </c>
      <c r="D199" s="52">
        <v>12</v>
      </c>
      <c r="E199" s="40" t="s">
        <v>17</v>
      </c>
      <c r="F199" s="40" t="s">
        <v>17</v>
      </c>
      <c r="G199" s="40" t="s">
        <v>17</v>
      </c>
      <c r="H199" s="40" t="s">
        <v>17</v>
      </c>
      <c r="I199" s="40" t="s">
        <v>17</v>
      </c>
      <c r="J199" s="27">
        <v>3.1E-2</v>
      </c>
      <c r="K199" s="23"/>
      <c r="L199" s="24">
        <f>K199*D199</f>
        <v>0</v>
      </c>
      <c r="M199" s="25">
        <f>K199*J199</f>
        <v>0</v>
      </c>
      <c r="N199" s="162">
        <v>0.4</v>
      </c>
      <c r="O199" s="146">
        <f>Table3[[#This Row],[Order Quantity (Pkts)]]*Table3[[#This Row],[Column1]]</f>
        <v>0</v>
      </c>
    </row>
    <row r="200" spans="1:15" s="26" customFormat="1" ht="14.25" customHeight="1" x14ac:dyDescent="0.25">
      <c r="A200" s="50">
        <v>186</v>
      </c>
      <c r="B200" s="20" t="s">
        <v>123</v>
      </c>
      <c r="C200" s="32" t="s">
        <v>22</v>
      </c>
      <c r="D200" s="52">
        <v>10</v>
      </c>
      <c r="E200" s="40" t="s">
        <v>17</v>
      </c>
      <c r="F200" s="40" t="s">
        <v>17</v>
      </c>
      <c r="G200" s="40" t="s">
        <v>17</v>
      </c>
      <c r="H200" s="40" t="s">
        <v>17</v>
      </c>
      <c r="I200" s="40" t="s">
        <v>17</v>
      </c>
      <c r="J200" s="27">
        <v>3.1E-2</v>
      </c>
      <c r="K200" s="23"/>
      <c r="L200" s="24">
        <f>K200*D200</f>
        <v>0</v>
      </c>
      <c r="M200" s="25">
        <f>K200*J200</f>
        <v>0</v>
      </c>
      <c r="N200" s="162">
        <v>0.5</v>
      </c>
      <c r="O200" s="146">
        <f>Table3[[#This Row],[Order Quantity (Pkts)]]*Table3[[#This Row],[Column1]]</f>
        <v>0</v>
      </c>
    </row>
    <row r="201" spans="1:15" ht="14.4" customHeight="1" x14ac:dyDescent="0.25">
      <c r="A201" s="139"/>
      <c r="B201" s="80" t="s">
        <v>124</v>
      </c>
      <c r="C201" s="81"/>
      <c r="D201" s="81"/>
      <c r="E201" s="81"/>
      <c r="F201" s="81"/>
      <c r="G201" s="81"/>
      <c r="H201" s="81"/>
      <c r="I201" s="82"/>
      <c r="J201" s="83"/>
      <c r="K201" s="83"/>
      <c r="L201" s="83"/>
      <c r="M201" s="83"/>
      <c r="N201" s="153"/>
      <c r="O201" s="153"/>
    </row>
    <row r="202" spans="1:15" ht="14.4" customHeight="1" x14ac:dyDescent="0.25">
      <c r="A202" s="142">
        <v>187</v>
      </c>
      <c r="B202" s="20" t="s">
        <v>165</v>
      </c>
      <c r="C202" s="85" t="s">
        <v>125</v>
      </c>
      <c r="D202" s="40" t="s">
        <v>17</v>
      </c>
      <c r="E202" s="53">
        <v>5</v>
      </c>
      <c r="F202" s="40" t="s">
        <v>17</v>
      </c>
      <c r="G202" s="40" t="s">
        <v>17</v>
      </c>
      <c r="H202" s="40" t="s">
        <v>17</v>
      </c>
      <c r="I202" s="40" t="s">
        <v>17</v>
      </c>
      <c r="J202" s="27">
        <v>3.1E-2</v>
      </c>
      <c r="K202" s="23"/>
      <c r="L202" s="24">
        <f>K202*Table3[[#This Row],[Unprinted Pouch]]</f>
        <v>0</v>
      </c>
      <c r="M202" s="141">
        <f>K202*J202</f>
        <v>0</v>
      </c>
      <c r="N202" s="145">
        <v>2.5</v>
      </c>
      <c r="O202" s="145">
        <f>Table3[[#This Row],[Order Quantity (Pkts)]]*Table3[[#This Row],[Column1]]</f>
        <v>0</v>
      </c>
    </row>
    <row r="203" spans="1:15" ht="14.4" customHeight="1" x14ac:dyDescent="0.25">
      <c r="A203" s="142">
        <v>188</v>
      </c>
      <c r="B203" s="20" t="s">
        <v>166</v>
      </c>
      <c r="C203" s="85" t="s">
        <v>125</v>
      </c>
      <c r="D203" s="40" t="s">
        <v>17</v>
      </c>
      <c r="E203" s="53">
        <v>4</v>
      </c>
      <c r="F203" s="40" t="s">
        <v>17</v>
      </c>
      <c r="G203" s="40" t="s">
        <v>17</v>
      </c>
      <c r="H203" s="40" t="s">
        <v>17</v>
      </c>
      <c r="I203" s="40" t="s">
        <v>17</v>
      </c>
      <c r="J203" s="27">
        <v>3.1E-2</v>
      </c>
      <c r="K203" s="23"/>
      <c r="L203" s="24">
        <f>K203*Table3[[#This Row],[Unprinted Pouch]]</f>
        <v>0</v>
      </c>
      <c r="M203" s="141">
        <f>K203*J203</f>
        <v>0</v>
      </c>
      <c r="N203" s="145">
        <v>2.5</v>
      </c>
      <c r="O203" s="146">
        <f>Table3[[#This Row],[Order Quantity (Pkts)]]*Table3[[#This Row],[Column1]]</f>
        <v>0</v>
      </c>
    </row>
    <row r="204" spans="1:15" ht="14.4" customHeight="1" x14ac:dyDescent="0.25">
      <c r="A204" s="142">
        <v>189</v>
      </c>
      <c r="B204" s="84" t="s">
        <v>20</v>
      </c>
      <c r="C204" s="85" t="s">
        <v>125</v>
      </c>
      <c r="D204" s="40" t="s">
        <v>17</v>
      </c>
      <c r="E204" s="86">
        <v>5</v>
      </c>
      <c r="F204" s="40" t="s">
        <v>17</v>
      </c>
      <c r="G204" s="40" t="s">
        <v>17</v>
      </c>
      <c r="H204" s="40" t="s">
        <v>17</v>
      </c>
      <c r="I204" s="40" t="s">
        <v>17</v>
      </c>
      <c r="J204" s="27">
        <v>3.1E-2</v>
      </c>
      <c r="K204" s="23"/>
      <c r="L204" s="24">
        <f>K204*Table3[[#This Row],[Unprinted Pouch]]</f>
        <v>0</v>
      </c>
      <c r="M204" s="25">
        <f t="shared" ref="M204:M220" si="14">K204*J204</f>
        <v>0</v>
      </c>
      <c r="N204" s="145">
        <v>2.5</v>
      </c>
      <c r="O204" s="145">
        <f>Table3[[#This Row],[Order Quantity (Pkts)]]*Table3[[#This Row],[Column1]]</f>
        <v>0</v>
      </c>
    </row>
    <row r="205" spans="1:15" x14ac:dyDescent="0.25">
      <c r="A205" s="142">
        <v>190</v>
      </c>
      <c r="B205" s="84" t="s">
        <v>24</v>
      </c>
      <c r="C205" s="85" t="s">
        <v>125</v>
      </c>
      <c r="D205" s="40" t="s">
        <v>17</v>
      </c>
      <c r="E205" s="86">
        <v>4</v>
      </c>
      <c r="F205" s="40" t="s">
        <v>17</v>
      </c>
      <c r="G205" s="40" t="s">
        <v>17</v>
      </c>
      <c r="H205" s="40" t="s">
        <v>17</v>
      </c>
      <c r="I205" s="40" t="s">
        <v>17</v>
      </c>
      <c r="J205" s="27">
        <v>3.1E-2</v>
      </c>
      <c r="K205" s="23"/>
      <c r="L205" s="24">
        <f>K205*Table3[[#This Row],[Unprinted Pouch]]</f>
        <v>0</v>
      </c>
      <c r="M205" s="25">
        <f t="shared" si="14"/>
        <v>0</v>
      </c>
      <c r="N205" s="145">
        <v>2.5</v>
      </c>
      <c r="O205" s="146">
        <f>Table3[[#This Row],[Order Quantity (Pkts)]]*Table3[[#This Row],[Column1]]</f>
        <v>0</v>
      </c>
    </row>
    <row r="206" spans="1:15" x14ac:dyDescent="0.25">
      <c r="A206" s="142">
        <v>191</v>
      </c>
      <c r="B206" s="20" t="s">
        <v>163</v>
      </c>
      <c r="C206" s="85" t="s">
        <v>125</v>
      </c>
      <c r="D206" s="40" t="s">
        <v>17</v>
      </c>
      <c r="E206" s="53">
        <v>4</v>
      </c>
      <c r="F206" s="40" t="s">
        <v>17</v>
      </c>
      <c r="G206" s="40" t="s">
        <v>17</v>
      </c>
      <c r="H206" s="40" t="s">
        <v>17</v>
      </c>
      <c r="I206" s="40" t="s">
        <v>17</v>
      </c>
      <c r="J206" s="27">
        <v>3.1E-2</v>
      </c>
      <c r="K206" s="23"/>
      <c r="L206" s="24">
        <f>K206*Table3[[#This Row],[Unprinted Pouch]]</f>
        <v>0</v>
      </c>
      <c r="M206" s="114">
        <f>K206*J206</f>
        <v>0</v>
      </c>
      <c r="N206" s="145">
        <v>2.5</v>
      </c>
      <c r="O206" s="146">
        <f>Table3[[#This Row],[Order Quantity (Pkts)]]*Table3[[#This Row],[Column1]]</f>
        <v>0</v>
      </c>
    </row>
    <row r="207" spans="1:15" x14ac:dyDescent="0.25">
      <c r="A207" s="142">
        <v>192</v>
      </c>
      <c r="B207" s="20" t="s">
        <v>47</v>
      </c>
      <c r="C207" s="85" t="s">
        <v>125</v>
      </c>
      <c r="D207" s="40" t="s">
        <v>17</v>
      </c>
      <c r="E207" s="53">
        <v>5</v>
      </c>
      <c r="F207" s="40" t="s">
        <v>17</v>
      </c>
      <c r="G207" s="40" t="s">
        <v>17</v>
      </c>
      <c r="H207" s="40" t="s">
        <v>17</v>
      </c>
      <c r="I207" s="40" t="s">
        <v>17</v>
      </c>
      <c r="J207" s="27">
        <v>3.1E-2</v>
      </c>
      <c r="K207" s="23"/>
      <c r="L207" s="24">
        <f>K207*Table3[[#This Row],[Unprinted Pouch]]</f>
        <v>0</v>
      </c>
      <c r="M207" s="114">
        <f>K207*J207</f>
        <v>0</v>
      </c>
      <c r="N207" s="145">
        <v>2.5</v>
      </c>
      <c r="O207" s="145">
        <f>Table3[[#This Row],[Order Quantity (Pkts)]]*Table3[[#This Row],[Column1]]</f>
        <v>0</v>
      </c>
    </row>
    <row r="208" spans="1:15" x14ac:dyDescent="0.25">
      <c r="A208" s="142">
        <v>193</v>
      </c>
      <c r="B208" s="20" t="s">
        <v>46</v>
      </c>
      <c r="C208" s="85" t="s">
        <v>125</v>
      </c>
      <c r="D208" s="40" t="s">
        <v>17</v>
      </c>
      <c r="E208" s="53">
        <v>5</v>
      </c>
      <c r="F208" s="40" t="s">
        <v>17</v>
      </c>
      <c r="G208" s="40" t="s">
        <v>17</v>
      </c>
      <c r="H208" s="40" t="s">
        <v>17</v>
      </c>
      <c r="I208" s="40" t="s">
        <v>17</v>
      </c>
      <c r="J208" s="27">
        <v>3.1E-2</v>
      </c>
      <c r="K208" s="23"/>
      <c r="L208" s="24">
        <f>K208*Table3[[#This Row],[Unprinted Pouch]]</f>
        <v>0</v>
      </c>
      <c r="M208" s="114">
        <f>K208*J208</f>
        <v>0</v>
      </c>
      <c r="N208" s="145">
        <v>2.5</v>
      </c>
      <c r="O208" s="145">
        <f>Table3[[#This Row],[Order Quantity (Pkts)]]*Table3[[#This Row],[Column1]]</f>
        <v>0</v>
      </c>
    </row>
    <row r="209" spans="1:22" x14ac:dyDescent="0.25">
      <c r="A209" s="142">
        <v>194</v>
      </c>
      <c r="B209" s="20" t="s">
        <v>44</v>
      </c>
      <c r="C209" s="85" t="s">
        <v>125</v>
      </c>
      <c r="D209" s="40" t="s">
        <v>17</v>
      </c>
      <c r="E209" s="53">
        <v>5</v>
      </c>
      <c r="F209" s="40" t="s">
        <v>17</v>
      </c>
      <c r="G209" s="40" t="s">
        <v>17</v>
      </c>
      <c r="H209" s="40" t="s">
        <v>17</v>
      </c>
      <c r="I209" s="40" t="s">
        <v>17</v>
      </c>
      <c r="J209" s="27">
        <v>3.1E-2</v>
      </c>
      <c r="K209" s="23"/>
      <c r="L209" s="24">
        <f>K209*Table3[[#This Row],[Unprinted Pouch]]</f>
        <v>0</v>
      </c>
      <c r="M209" s="114">
        <f>K209*J209</f>
        <v>0</v>
      </c>
      <c r="N209" s="145">
        <v>2.5</v>
      </c>
      <c r="O209" s="145">
        <f>Table3[[#This Row],[Order Quantity (Pkts)]]*Table3[[#This Row],[Column1]]</f>
        <v>0</v>
      </c>
    </row>
    <row r="210" spans="1:22" x14ac:dyDescent="0.25">
      <c r="A210" s="142">
        <v>195</v>
      </c>
      <c r="B210" s="42" t="s">
        <v>29</v>
      </c>
      <c r="C210" s="87" t="s">
        <v>125</v>
      </c>
      <c r="D210" s="40" t="s">
        <v>17</v>
      </c>
      <c r="E210" s="88">
        <v>5</v>
      </c>
      <c r="F210" s="40" t="s">
        <v>17</v>
      </c>
      <c r="G210" s="40" t="s">
        <v>17</v>
      </c>
      <c r="H210" s="40" t="s">
        <v>17</v>
      </c>
      <c r="I210" s="40" t="s">
        <v>17</v>
      </c>
      <c r="J210" s="27">
        <v>3.1E-2</v>
      </c>
      <c r="K210" s="23"/>
      <c r="L210" s="24">
        <f>K210*Table3[[#This Row],[Unprinted Pouch]]</f>
        <v>0</v>
      </c>
      <c r="M210" s="25">
        <f t="shared" si="14"/>
        <v>0</v>
      </c>
      <c r="N210" s="145">
        <v>2.5</v>
      </c>
      <c r="O210" s="145">
        <f>Table3[[#This Row],[Order Quantity (Pkts)]]*Table3[[#This Row],[Column1]]</f>
        <v>0</v>
      </c>
    </row>
    <row r="211" spans="1:22" x14ac:dyDescent="0.25">
      <c r="A211" s="142">
        <v>196</v>
      </c>
      <c r="B211" s="60" t="s">
        <v>126</v>
      </c>
      <c r="C211" s="87" t="s">
        <v>125</v>
      </c>
      <c r="D211" s="40" t="s">
        <v>17</v>
      </c>
      <c r="E211" s="88">
        <v>5</v>
      </c>
      <c r="F211" s="40" t="s">
        <v>17</v>
      </c>
      <c r="G211" s="40" t="s">
        <v>17</v>
      </c>
      <c r="H211" s="40" t="s">
        <v>17</v>
      </c>
      <c r="I211" s="40" t="s">
        <v>17</v>
      </c>
      <c r="J211" s="27">
        <v>3.1E-2</v>
      </c>
      <c r="K211" s="23"/>
      <c r="L211" s="24">
        <f>K211*Table3[[#This Row],[Unprinted Pouch]]</f>
        <v>0</v>
      </c>
      <c r="M211" s="25">
        <f t="shared" si="14"/>
        <v>0</v>
      </c>
      <c r="N211" s="145">
        <v>2.5</v>
      </c>
      <c r="O211" s="145">
        <f>Table3[[#This Row],[Order Quantity (Pkts)]]*Table3[[#This Row],[Column1]]</f>
        <v>0</v>
      </c>
    </row>
    <row r="212" spans="1:22" x14ac:dyDescent="0.25">
      <c r="A212" s="142">
        <v>197</v>
      </c>
      <c r="B212" s="60" t="s">
        <v>127</v>
      </c>
      <c r="C212" s="87" t="s">
        <v>125</v>
      </c>
      <c r="D212" s="40" t="s">
        <v>17</v>
      </c>
      <c r="E212" s="88">
        <v>5</v>
      </c>
      <c r="F212" s="40" t="s">
        <v>17</v>
      </c>
      <c r="G212" s="40" t="s">
        <v>17</v>
      </c>
      <c r="H212" s="40" t="s">
        <v>17</v>
      </c>
      <c r="I212" s="40" t="s">
        <v>17</v>
      </c>
      <c r="J212" s="27">
        <v>3.1E-2</v>
      </c>
      <c r="K212" s="23"/>
      <c r="L212" s="24">
        <f>K212*Table3[[#This Row],[Unprinted Pouch]]</f>
        <v>0</v>
      </c>
      <c r="M212" s="25">
        <f t="shared" si="14"/>
        <v>0</v>
      </c>
      <c r="N212" s="145">
        <v>2.5</v>
      </c>
      <c r="O212" s="145">
        <f>Table3[[#This Row],[Order Quantity (Pkts)]]*Table3[[#This Row],[Column1]]</f>
        <v>0</v>
      </c>
    </row>
    <row r="213" spans="1:22" x14ac:dyDescent="0.25">
      <c r="A213" s="142">
        <v>198</v>
      </c>
      <c r="B213" s="60" t="s">
        <v>30</v>
      </c>
      <c r="C213" s="87" t="s">
        <v>125</v>
      </c>
      <c r="D213" s="40" t="s">
        <v>17</v>
      </c>
      <c r="E213" s="86">
        <v>4</v>
      </c>
      <c r="F213" s="40" t="s">
        <v>17</v>
      </c>
      <c r="G213" s="40" t="s">
        <v>17</v>
      </c>
      <c r="H213" s="40" t="s">
        <v>17</v>
      </c>
      <c r="I213" s="40" t="s">
        <v>17</v>
      </c>
      <c r="J213" s="27">
        <v>3.1E-2</v>
      </c>
      <c r="K213" s="23"/>
      <c r="L213" s="24">
        <f>K213*Table3[[#This Row],[Unprinted Pouch]]</f>
        <v>0</v>
      </c>
      <c r="M213" s="25">
        <f t="shared" si="14"/>
        <v>0</v>
      </c>
      <c r="N213" s="145">
        <v>2.5</v>
      </c>
      <c r="O213" s="156">
        <f>Table3[[#This Row],[Order Quantity (Pkts)]]*Table3[[#This Row],[Column1]]</f>
        <v>0</v>
      </c>
      <c r="P213" s="90"/>
      <c r="Q213" s="89"/>
      <c r="R213" s="89"/>
      <c r="S213" s="89"/>
      <c r="T213" s="89"/>
      <c r="U213" s="26"/>
      <c r="V213" s="26"/>
    </row>
    <row r="214" spans="1:22" x14ac:dyDescent="0.25">
      <c r="A214" s="142">
        <v>199</v>
      </c>
      <c r="B214" s="60" t="s">
        <v>128</v>
      </c>
      <c r="C214" s="87" t="s">
        <v>125</v>
      </c>
      <c r="D214" s="40" t="s">
        <v>17</v>
      </c>
      <c r="E214" s="86">
        <v>6</v>
      </c>
      <c r="F214" s="40" t="s">
        <v>17</v>
      </c>
      <c r="G214" s="40" t="s">
        <v>17</v>
      </c>
      <c r="H214" s="40" t="s">
        <v>17</v>
      </c>
      <c r="I214" s="40" t="s">
        <v>17</v>
      </c>
      <c r="J214" s="27">
        <v>3.1E-2</v>
      </c>
      <c r="K214" s="23"/>
      <c r="L214" s="24">
        <f>K214*Table3[[#This Row],[Unprinted Pouch]]</f>
        <v>0</v>
      </c>
      <c r="M214" s="25">
        <f t="shared" si="14"/>
        <v>0</v>
      </c>
      <c r="N214" s="145">
        <v>2.5</v>
      </c>
      <c r="O214" s="154">
        <f>Table3[[#This Row],[Order Quantity (Pkts)]]*Table3[[#This Row],[Column1]]</f>
        <v>0</v>
      </c>
      <c r="P214" s="90"/>
      <c r="Q214" s="89"/>
      <c r="R214" s="89"/>
      <c r="S214" s="89"/>
      <c r="T214" s="89"/>
      <c r="U214" s="26"/>
      <c r="V214" s="26"/>
    </row>
    <row r="215" spans="1:22" x14ac:dyDescent="0.25">
      <c r="A215" s="142">
        <v>200</v>
      </c>
      <c r="B215" s="60" t="s">
        <v>33</v>
      </c>
      <c r="C215" s="87" t="s">
        <v>125</v>
      </c>
      <c r="D215" s="40" t="s">
        <v>17</v>
      </c>
      <c r="E215" s="86">
        <v>4</v>
      </c>
      <c r="F215" s="40" t="s">
        <v>17</v>
      </c>
      <c r="G215" s="40" t="s">
        <v>17</v>
      </c>
      <c r="H215" s="40" t="s">
        <v>17</v>
      </c>
      <c r="I215" s="40" t="s">
        <v>17</v>
      </c>
      <c r="J215" s="27">
        <v>3.1E-2</v>
      </c>
      <c r="K215" s="23"/>
      <c r="L215" s="24">
        <f>K215*Table3[[#This Row],[Unprinted Pouch]]</f>
        <v>0</v>
      </c>
      <c r="M215" s="25">
        <f t="shared" si="14"/>
        <v>0</v>
      </c>
      <c r="N215" s="145">
        <v>2.5</v>
      </c>
      <c r="O215" s="156">
        <f>Table3[[#This Row],[Order Quantity (Pkts)]]*Table3[[#This Row],[Column1]]</f>
        <v>0</v>
      </c>
      <c r="P215" s="90"/>
      <c r="Q215" s="89"/>
      <c r="R215" s="89"/>
      <c r="S215" s="89"/>
      <c r="T215" s="89"/>
      <c r="U215" s="26"/>
      <c r="V215" s="26"/>
    </row>
    <row r="216" spans="1:22" x14ac:dyDescent="0.25">
      <c r="A216" s="142">
        <v>201</v>
      </c>
      <c r="B216" s="60" t="s">
        <v>129</v>
      </c>
      <c r="C216" s="87" t="s">
        <v>125</v>
      </c>
      <c r="D216" s="40" t="s">
        <v>17</v>
      </c>
      <c r="E216" s="86">
        <v>3</v>
      </c>
      <c r="F216" s="40" t="s">
        <v>17</v>
      </c>
      <c r="G216" s="40" t="s">
        <v>17</v>
      </c>
      <c r="H216" s="40" t="s">
        <v>17</v>
      </c>
      <c r="I216" s="40" t="s">
        <v>17</v>
      </c>
      <c r="J216" s="27">
        <v>3.1E-2</v>
      </c>
      <c r="K216" s="23"/>
      <c r="L216" s="24">
        <f>K216*Table3[[#This Row],[Unprinted Pouch]]</f>
        <v>0</v>
      </c>
      <c r="M216" s="25">
        <f t="shared" si="14"/>
        <v>0</v>
      </c>
      <c r="N216" s="145">
        <v>2.5</v>
      </c>
      <c r="O216" s="156">
        <f>Table3[[#This Row],[Order Quantity (Pkts)]]*Table3[[#This Row],[Column1]]</f>
        <v>0</v>
      </c>
      <c r="P216" s="90"/>
      <c r="Q216" s="89"/>
      <c r="R216" s="89"/>
      <c r="S216" s="89"/>
      <c r="T216" s="89"/>
      <c r="U216" s="26"/>
      <c r="V216" s="26"/>
    </row>
    <row r="217" spans="1:22" x14ac:dyDescent="0.25">
      <c r="A217" s="142">
        <v>202</v>
      </c>
      <c r="B217" s="42" t="s">
        <v>130</v>
      </c>
      <c r="C217" s="87" t="s">
        <v>125</v>
      </c>
      <c r="D217" s="40" t="s">
        <v>17</v>
      </c>
      <c r="E217" s="88">
        <v>6</v>
      </c>
      <c r="F217" s="40" t="s">
        <v>17</v>
      </c>
      <c r="G217" s="40" t="s">
        <v>17</v>
      </c>
      <c r="H217" s="40" t="s">
        <v>17</v>
      </c>
      <c r="I217" s="40" t="s">
        <v>17</v>
      </c>
      <c r="J217" s="27">
        <v>3.1E-2</v>
      </c>
      <c r="K217" s="23"/>
      <c r="L217" s="24">
        <f>K217*Table3[[#This Row],[Unprinted Pouch]]</f>
        <v>0</v>
      </c>
      <c r="M217" s="25">
        <f t="shared" si="14"/>
        <v>0</v>
      </c>
      <c r="N217" s="145">
        <v>2.5</v>
      </c>
      <c r="O217" s="145">
        <f>Table3[[#This Row],[Order Quantity (Pkts)]]*Table3[[#This Row],[Column1]]</f>
        <v>0</v>
      </c>
    </row>
    <row r="218" spans="1:22" x14ac:dyDescent="0.25">
      <c r="A218" s="142">
        <v>203</v>
      </c>
      <c r="B218" s="42" t="s">
        <v>32</v>
      </c>
      <c r="C218" s="87" t="s">
        <v>131</v>
      </c>
      <c r="D218" s="40" t="s">
        <v>17</v>
      </c>
      <c r="E218" s="88">
        <v>2</v>
      </c>
      <c r="F218" s="40" t="s">
        <v>17</v>
      </c>
      <c r="G218" s="40" t="s">
        <v>17</v>
      </c>
      <c r="H218" s="40" t="s">
        <v>17</v>
      </c>
      <c r="I218" s="40" t="s">
        <v>17</v>
      </c>
      <c r="J218" s="27">
        <v>3.1E-2</v>
      </c>
      <c r="K218" s="23"/>
      <c r="L218" s="24">
        <f>K218*Table3[[#This Row],[Unprinted Pouch]]</f>
        <v>0</v>
      </c>
      <c r="M218" s="25">
        <f t="shared" si="14"/>
        <v>0</v>
      </c>
      <c r="N218" s="145">
        <v>5</v>
      </c>
      <c r="O218" s="146">
        <f>Table3[[#This Row],[Order Quantity (Pkts)]]*Table3[[#This Row],[Column1]]</f>
        <v>0</v>
      </c>
    </row>
    <row r="219" spans="1:22" x14ac:dyDescent="0.25">
      <c r="A219" s="142">
        <v>204</v>
      </c>
      <c r="B219" s="42" t="s">
        <v>132</v>
      </c>
      <c r="C219" s="91" t="s">
        <v>125</v>
      </c>
      <c r="D219" s="40" t="s">
        <v>17</v>
      </c>
      <c r="E219" s="92">
        <v>4</v>
      </c>
      <c r="F219" s="40" t="s">
        <v>17</v>
      </c>
      <c r="G219" s="40" t="s">
        <v>17</v>
      </c>
      <c r="H219" s="40" t="s">
        <v>17</v>
      </c>
      <c r="I219" s="40" t="s">
        <v>17</v>
      </c>
      <c r="J219" s="27">
        <v>3.1E-2</v>
      </c>
      <c r="K219" s="23"/>
      <c r="L219" s="24">
        <f>K219*Table3[[#This Row],[Unprinted Pouch]]</f>
        <v>0</v>
      </c>
      <c r="M219" s="25">
        <f t="shared" si="14"/>
        <v>0</v>
      </c>
      <c r="N219" s="166">
        <v>2.5</v>
      </c>
      <c r="O219" s="146">
        <f>Table3[[#This Row],[Order Quantity (Pkts)]]*Table3[[#This Row],[Column1]]</f>
        <v>0</v>
      </c>
    </row>
    <row r="220" spans="1:22" x14ac:dyDescent="0.25">
      <c r="A220" s="142">
        <v>205</v>
      </c>
      <c r="B220" s="20" t="s">
        <v>164</v>
      </c>
      <c r="C220" s="32" t="s">
        <v>125</v>
      </c>
      <c r="D220" s="40" t="s">
        <v>17</v>
      </c>
      <c r="E220" s="88">
        <v>3</v>
      </c>
      <c r="F220" s="40" t="s">
        <v>17</v>
      </c>
      <c r="G220" s="40" t="s">
        <v>17</v>
      </c>
      <c r="H220" s="40" t="s">
        <v>17</v>
      </c>
      <c r="I220" s="40" t="s">
        <v>17</v>
      </c>
      <c r="J220" s="27">
        <v>3.1E-2</v>
      </c>
      <c r="K220" s="23"/>
      <c r="L220" s="24">
        <f>K220*Table3[[#This Row],[Unprinted Pouch]]</f>
        <v>0</v>
      </c>
      <c r="M220" s="25">
        <f t="shared" si="14"/>
        <v>0</v>
      </c>
      <c r="N220" s="145">
        <v>2.5</v>
      </c>
      <c r="O220" s="146">
        <f>Table3[[#This Row],[Order Quantity (Pkts)]]*Table3[[#This Row],[Column1]]</f>
        <v>0</v>
      </c>
    </row>
    <row r="221" spans="1:22" x14ac:dyDescent="0.25">
      <c r="A221" s="142">
        <v>206</v>
      </c>
      <c r="B221" s="20" t="s">
        <v>15</v>
      </c>
      <c r="C221" s="32" t="s">
        <v>131</v>
      </c>
      <c r="D221" s="40" t="s">
        <v>17</v>
      </c>
      <c r="E221" s="53">
        <v>2</v>
      </c>
      <c r="F221" s="40" t="s">
        <v>17</v>
      </c>
      <c r="G221" s="40" t="s">
        <v>17</v>
      </c>
      <c r="H221" s="40" t="s">
        <v>17</v>
      </c>
      <c r="I221" s="40" t="s">
        <v>17</v>
      </c>
      <c r="J221" s="177">
        <v>6.7500000000000004E-2</v>
      </c>
      <c r="K221" s="23"/>
      <c r="L221" s="24">
        <f>K221*Table3[[#This Row],[Unprinted Pouch]]</f>
        <v>0</v>
      </c>
      <c r="M221" s="114">
        <f>K221*J221</f>
        <v>0</v>
      </c>
      <c r="N221" s="162">
        <v>5</v>
      </c>
      <c r="O221" s="146">
        <f>Table3[[#This Row],[Order Quantity (Pkts)]]*Table3[[#This Row],[Column1]]</f>
        <v>0</v>
      </c>
    </row>
    <row r="222" spans="1:22" x14ac:dyDescent="0.25">
      <c r="A222" s="142">
        <v>207</v>
      </c>
      <c r="B222" s="20" t="s">
        <v>174</v>
      </c>
      <c r="C222" s="32" t="s">
        <v>23</v>
      </c>
      <c r="D222" s="40" t="s">
        <v>17</v>
      </c>
      <c r="E222" s="174">
        <v>12</v>
      </c>
      <c r="F222" s="40" t="s">
        <v>17</v>
      </c>
      <c r="G222" s="40" t="s">
        <v>17</v>
      </c>
      <c r="H222" s="40" t="s">
        <v>17</v>
      </c>
      <c r="I222" s="40" t="s">
        <v>17</v>
      </c>
      <c r="J222" s="27">
        <v>3.1E-2</v>
      </c>
      <c r="K222" s="23"/>
      <c r="L222" s="24">
        <f>K222*Table3[[#This Row],[Unprinted Pouch]]</f>
        <v>0</v>
      </c>
      <c r="M222" s="114">
        <f>K222*J222</f>
        <v>0</v>
      </c>
      <c r="N222" s="162">
        <v>1</v>
      </c>
      <c r="O222" s="146">
        <f>Table3[[#This Row],[Order Quantity (Pkts)]]*Table3[[#This Row],[Column1]]</f>
        <v>0</v>
      </c>
    </row>
    <row r="223" spans="1:22" x14ac:dyDescent="0.25">
      <c r="A223" s="142">
        <v>208</v>
      </c>
      <c r="B223" s="20" t="s">
        <v>126</v>
      </c>
      <c r="C223" s="32" t="s">
        <v>23</v>
      </c>
      <c r="D223" s="40" t="s">
        <v>17</v>
      </c>
      <c r="E223" s="174">
        <v>14</v>
      </c>
      <c r="F223" s="40" t="s">
        <v>17</v>
      </c>
      <c r="G223" s="40" t="s">
        <v>17</v>
      </c>
      <c r="H223" s="40" t="s">
        <v>17</v>
      </c>
      <c r="I223" s="40" t="s">
        <v>17</v>
      </c>
      <c r="J223" s="27">
        <v>3.1E-2</v>
      </c>
      <c r="K223" s="23"/>
      <c r="L223" s="24">
        <f>K223*Table3[[#This Row],[Unprinted Pouch]]</f>
        <v>0</v>
      </c>
      <c r="M223" s="114">
        <f>K223*J223</f>
        <v>0</v>
      </c>
      <c r="N223" s="162">
        <v>1</v>
      </c>
      <c r="O223" s="146">
        <f>Table3[[#This Row],[Order Quantity (Pkts)]]*Table3[[#This Row],[Column1]]</f>
        <v>0</v>
      </c>
    </row>
    <row r="224" spans="1:22" s="26" customFormat="1" ht="20.399999999999999" customHeight="1" thickBot="1" x14ac:dyDescent="0.3">
      <c r="A224" s="171"/>
      <c r="B224" s="93" t="s">
        <v>133</v>
      </c>
      <c r="C224" s="94"/>
      <c r="D224" s="94"/>
      <c r="E224" s="94"/>
      <c r="F224" s="94"/>
      <c r="G224" s="94"/>
      <c r="H224" s="94"/>
      <c r="I224" s="94"/>
      <c r="J224" s="95"/>
      <c r="K224" s="95"/>
      <c r="L224" s="95"/>
      <c r="M224" s="95"/>
      <c r="N224" s="155"/>
      <c r="O224" s="155"/>
    </row>
    <row r="225" spans="1:15" s="2" customFormat="1" ht="15.6" customHeight="1" x14ac:dyDescent="0.25">
      <c r="A225" s="142">
        <v>209</v>
      </c>
      <c r="B225" s="96" t="s">
        <v>134</v>
      </c>
      <c r="C225" s="97" t="s">
        <v>19</v>
      </c>
      <c r="D225" s="159">
        <v>25</v>
      </c>
      <c r="E225" s="98" t="s">
        <v>17</v>
      </c>
      <c r="F225" s="98" t="s">
        <v>17</v>
      </c>
      <c r="G225" s="98" t="s">
        <v>17</v>
      </c>
      <c r="H225" s="98" t="s">
        <v>17</v>
      </c>
      <c r="I225" s="98" t="s">
        <v>17</v>
      </c>
      <c r="J225" s="99">
        <f>(38*23*11.5)/10000000</f>
        <v>1.0051000000000001E-3</v>
      </c>
      <c r="K225" s="23"/>
      <c r="L225" s="24">
        <f>K225*D225</f>
        <v>0</v>
      </c>
      <c r="M225" s="100">
        <f t="shared" ref="M225:M229" si="15">K225*J225</f>
        <v>0</v>
      </c>
      <c r="N225" s="167">
        <v>0.4</v>
      </c>
      <c r="O225" s="145">
        <f>Table3[[#This Row],[Order Quantity (Pkts)]]*Table3[[#This Row],[Column1]]</f>
        <v>0</v>
      </c>
    </row>
    <row r="226" spans="1:15" s="2" customFormat="1" ht="15.6" customHeight="1" x14ac:dyDescent="0.25">
      <c r="A226" s="142">
        <v>210</v>
      </c>
      <c r="B226" s="101" t="s">
        <v>135</v>
      </c>
      <c r="C226" s="102" t="s">
        <v>136</v>
      </c>
      <c r="D226" s="71" t="s">
        <v>17</v>
      </c>
      <c r="E226" s="71" t="s">
        <v>17</v>
      </c>
      <c r="F226" s="71" t="s">
        <v>17</v>
      </c>
      <c r="G226" s="88">
        <v>24</v>
      </c>
      <c r="H226" s="71" t="s">
        <v>17</v>
      </c>
      <c r="I226" s="71" t="s">
        <v>17</v>
      </c>
      <c r="J226" s="104">
        <f>(38.5*26*19)/1000000</f>
        <v>1.9019000000000001E-2</v>
      </c>
      <c r="K226" s="23"/>
      <c r="L226" s="24">
        <f>K226*G226</f>
        <v>0</v>
      </c>
      <c r="M226" s="105">
        <f t="shared" si="15"/>
        <v>0</v>
      </c>
      <c r="N226" s="167">
        <v>0.35</v>
      </c>
      <c r="O226" s="146">
        <f>Table3[[#This Row],[Order Quantity (Pkts)]]*Table3[[#This Row],[Column1]]</f>
        <v>0</v>
      </c>
    </row>
    <row r="227" spans="1:15" s="2" customFormat="1" ht="15.6" customHeight="1" x14ac:dyDescent="0.25">
      <c r="A227" s="142">
        <v>211</v>
      </c>
      <c r="B227" s="101" t="s">
        <v>135</v>
      </c>
      <c r="C227" s="102" t="s">
        <v>137</v>
      </c>
      <c r="D227" s="71" t="s">
        <v>17</v>
      </c>
      <c r="E227" s="71" t="s">
        <v>17</v>
      </c>
      <c r="F227" s="71" t="s">
        <v>17</v>
      </c>
      <c r="G227" s="88">
        <v>12</v>
      </c>
      <c r="H227" s="71" t="s">
        <v>17</v>
      </c>
      <c r="I227" s="71" t="s">
        <v>17</v>
      </c>
      <c r="J227" s="104">
        <f>(33.5*24*26)/1000000</f>
        <v>2.0903999999999999E-2</v>
      </c>
      <c r="K227" s="23"/>
      <c r="L227" s="24">
        <f>K227*G227</f>
        <v>0</v>
      </c>
      <c r="M227" s="105">
        <f t="shared" si="15"/>
        <v>0</v>
      </c>
      <c r="N227" s="167">
        <v>0.75</v>
      </c>
      <c r="O227" s="146">
        <f>Table3[[#This Row],[Order Quantity (Pkts)]]*Table3[[#This Row],[Column1]]</f>
        <v>0</v>
      </c>
    </row>
    <row r="228" spans="1:15" s="2" customFormat="1" ht="15.6" customHeight="1" x14ac:dyDescent="0.25">
      <c r="A228" s="142">
        <v>212</v>
      </c>
      <c r="B228" s="101" t="s">
        <v>138</v>
      </c>
      <c r="C228" s="102" t="s">
        <v>136</v>
      </c>
      <c r="D228" s="71" t="s">
        <v>17</v>
      </c>
      <c r="E228" s="71" t="s">
        <v>17</v>
      </c>
      <c r="F228" s="71" t="s">
        <v>17</v>
      </c>
      <c r="G228" s="88">
        <v>24</v>
      </c>
      <c r="H228" s="71" t="s">
        <v>17</v>
      </c>
      <c r="I228" s="71" t="s">
        <v>17</v>
      </c>
      <c r="J228" s="104">
        <f>(38.5*26*19)/1000000</f>
        <v>1.9019000000000001E-2</v>
      </c>
      <c r="K228" s="23"/>
      <c r="L228" s="24">
        <f>K228*G228</f>
        <v>0</v>
      </c>
      <c r="M228" s="105">
        <f t="shared" si="15"/>
        <v>0</v>
      </c>
      <c r="N228" s="167">
        <v>0.35</v>
      </c>
      <c r="O228" s="146">
        <f>Table3[[#This Row],[Order Quantity (Pkts)]]*Table3[[#This Row],[Column1]]</f>
        <v>0</v>
      </c>
    </row>
    <row r="229" spans="1:15" s="2" customFormat="1" ht="15.6" customHeight="1" thickBot="1" x14ac:dyDescent="0.3">
      <c r="A229" s="142">
        <v>213</v>
      </c>
      <c r="B229" s="106" t="s">
        <v>138</v>
      </c>
      <c r="C229" s="107" t="s">
        <v>137</v>
      </c>
      <c r="D229" s="108" t="s">
        <v>17</v>
      </c>
      <c r="E229" s="108" t="s">
        <v>17</v>
      </c>
      <c r="F229" s="108" t="s">
        <v>17</v>
      </c>
      <c r="G229" s="160">
        <v>12</v>
      </c>
      <c r="H229" s="108" t="s">
        <v>17</v>
      </c>
      <c r="I229" s="108" t="s">
        <v>17</v>
      </c>
      <c r="J229" s="104">
        <f>(33.5*24*26)/1000000</f>
        <v>2.0903999999999999E-2</v>
      </c>
      <c r="K229" s="23"/>
      <c r="L229" s="24">
        <f>K229*G229</f>
        <v>0</v>
      </c>
      <c r="M229" s="105">
        <f t="shared" si="15"/>
        <v>0</v>
      </c>
      <c r="N229" s="167">
        <v>0.75</v>
      </c>
      <c r="O229" s="146">
        <f>Table3[[#This Row],[Order Quantity (Pkts)]]*Table3[[#This Row],[Column1]]</f>
        <v>0</v>
      </c>
    </row>
    <row r="230" spans="1:15" ht="14.4" thickBot="1" x14ac:dyDescent="0.3">
      <c r="A230" s="171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68"/>
      <c r="O230" s="109"/>
    </row>
    <row r="231" spans="1:15" s="26" customFormat="1" ht="16.95" customHeight="1" x14ac:dyDescent="0.25">
      <c r="A231" s="142">
        <v>214</v>
      </c>
      <c r="B231" s="110" t="s">
        <v>139</v>
      </c>
      <c r="C231" s="111" t="s">
        <v>74</v>
      </c>
      <c r="D231" s="98" t="s">
        <v>17</v>
      </c>
      <c r="E231" s="98" t="s">
        <v>17</v>
      </c>
      <c r="F231" s="98" t="s">
        <v>17</v>
      </c>
      <c r="G231" s="88">
        <v>28</v>
      </c>
      <c r="H231" s="98" t="s">
        <v>17</v>
      </c>
      <c r="I231" s="98" t="s">
        <v>17</v>
      </c>
      <c r="J231" s="22">
        <f t="shared" ref="J231:J254" si="16">(14.5*36.5*21.5)/1000000</f>
        <v>1.1378875E-2</v>
      </c>
      <c r="K231" s="23"/>
      <c r="L231" s="112">
        <f t="shared" ref="L231:L257" si="17">K231*G231</f>
        <v>0</v>
      </c>
      <c r="M231" s="113">
        <f t="shared" ref="M231:M262" si="18">K231*J231</f>
        <v>0</v>
      </c>
      <c r="N231" s="162">
        <v>7.0000000000000007E-2</v>
      </c>
      <c r="O231" s="146">
        <f>Table3[[#This Row],[Order Quantity (Pkts)]]*Table3[[#This Row],[Column1]]</f>
        <v>0</v>
      </c>
    </row>
    <row r="232" spans="1:15" s="26" customFormat="1" ht="16.95" customHeight="1" x14ac:dyDescent="0.25">
      <c r="A232" s="142">
        <v>215</v>
      </c>
      <c r="B232" s="20" t="s">
        <v>140</v>
      </c>
      <c r="C232" s="32" t="s">
        <v>21</v>
      </c>
      <c r="D232" s="71" t="s">
        <v>17</v>
      </c>
      <c r="E232" s="71" t="s">
        <v>17</v>
      </c>
      <c r="F232" s="71" t="s">
        <v>17</v>
      </c>
      <c r="G232" s="88">
        <v>28</v>
      </c>
      <c r="H232" s="71" t="s">
        <v>17</v>
      </c>
      <c r="I232" s="71" t="s">
        <v>17</v>
      </c>
      <c r="J232" s="22">
        <f t="shared" si="16"/>
        <v>1.1378875E-2</v>
      </c>
      <c r="K232" s="23"/>
      <c r="L232" s="24">
        <f t="shared" si="17"/>
        <v>0</v>
      </c>
      <c r="M232" s="114">
        <f t="shared" si="18"/>
        <v>0</v>
      </c>
      <c r="N232" s="162">
        <v>0.05</v>
      </c>
      <c r="O232" s="146">
        <f>Table3[[#This Row],[Order Quantity (Pkts)]]*Table3[[#This Row],[Column1]]</f>
        <v>0</v>
      </c>
    </row>
    <row r="233" spans="1:15" s="26" customFormat="1" ht="16.95" customHeight="1" x14ac:dyDescent="0.25">
      <c r="A233" s="142">
        <v>216</v>
      </c>
      <c r="B233" s="20" t="s">
        <v>141</v>
      </c>
      <c r="C233" s="32" t="s">
        <v>21</v>
      </c>
      <c r="D233" s="71" t="s">
        <v>17</v>
      </c>
      <c r="E233" s="71" t="s">
        <v>17</v>
      </c>
      <c r="F233" s="71" t="s">
        <v>17</v>
      </c>
      <c r="G233" s="88">
        <v>28</v>
      </c>
      <c r="H233" s="71" t="s">
        <v>17</v>
      </c>
      <c r="I233" s="71" t="s">
        <v>17</v>
      </c>
      <c r="J233" s="22">
        <f t="shared" si="16"/>
        <v>1.1378875E-2</v>
      </c>
      <c r="K233" s="23"/>
      <c r="L233" s="24">
        <f t="shared" si="17"/>
        <v>0</v>
      </c>
      <c r="M233" s="114">
        <f t="shared" si="18"/>
        <v>0</v>
      </c>
      <c r="N233" s="162">
        <v>0.05</v>
      </c>
      <c r="O233" s="146">
        <f>Table3[[#This Row],[Order Quantity (Pkts)]]*Table3[[#This Row],[Column1]]</f>
        <v>0</v>
      </c>
    </row>
    <row r="234" spans="1:15" s="26" customFormat="1" ht="16.95" customHeight="1" x14ac:dyDescent="0.25">
      <c r="A234" s="142">
        <v>217</v>
      </c>
      <c r="B234" s="20" t="s">
        <v>142</v>
      </c>
      <c r="C234" s="32" t="s">
        <v>76</v>
      </c>
      <c r="D234" s="71" t="s">
        <v>17</v>
      </c>
      <c r="E234" s="71" t="s">
        <v>17</v>
      </c>
      <c r="F234" s="71" t="s">
        <v>17</v>
      </c>
      <c r="G234" s="88">
        <v>28</v>
      </c>
      <c r="H234" s="71" t="s">
        <v>17</v>
      </c>
      <c r="I234" s="71" t="s">
        <v>17</v>
      </c>
      <c r="J234" s="22">
        <f t="shared" si="16"/>
        <v>1.1378875E-2</v>
      </c>
      <c r="K234" s="23"/>
      <c r="L234" s="24">
        <f t="shared" si="17"/>
        <v>0</v>
      </c>
      <c r="M234" s="114">
        <f t="shared" si="18"/>
        <v>0</v>
      </c>
      <c r="N234" s="162">
        <v>0.09</v>
      </c>
      <c r="O234" s="146">
        <f>Table3[[#This Row],[Order Quantity (Pkts)]]*Table3[[#This Row],[Column1]]</f>
        <v>0</v>
      </c>
    </row>
    <row r="235" spans="1:15" s="26" customFormat="1" ht="16.95" customHeight="1" x14ac:dyDescent="0.25">
      <c r="A235" s="142">
        <v>218</v>
      </c>
      <c r="B235" s="20" t="s">
        <v>143</v>
      </c>
      <c r="C235" s="32" t="s">
        <v>76</v>
      </c>
      <c r="D235" s="71" t="s">
        <v>17</v>
      </c>
      <c r="E235" s="71" t="s">
        <v>17</v>
      </c>
      <c r="F235" s="71" t="s">
        <v>17</v>
      </c>
      <c r="G235" s="88">
        <v>28</v>
      </c>
      <c r="H235" s="71" t="s">
        <v>17</v>
      </c>
      <c r="I235" s="71" t="s">
        <v>17</v>
      </c>
      <c r="J235" s="22">
        <f t="shared" si="16"/>
        <v>1.1378875E-2</v>
      </c>
      <c r="K235" s="23"/>
      <c r="L235" s="24">
        <f t="shared" si="17"/>
        <v>0</v>
      </c>
      <c r="M235" s="114">
        <f t="shared" si="18"/>
        <v>0</v>
      </c>
      <c r="N235" s="162">
        <v>0.09</v>
      </c>
      <c r="O235" s="146">
        <f>Table3[[#This Row],[Order Quantity (Pkts)]]*Table3[[#This Row],[Column1]]</f>
        <v>0</v>
      </c>
    </row>
    <row r="236" spans="1:15" s="26" customFormat="1" ht="16.95" customHeight="1" x14ac:dyDescent="0.25">
      <c r="A236" s="142">
        <v>219</v>
      </c>
      <c r="B236" s="20" t="s">
        <v>144</v>
      </c>
      <c r="C236" s="32" t="s">
        <v>74</v>
      </c>
      <c r="D236" s="71" t="s">
        <v>17</v>
      </c>
      <c r="E236" s="71" t="s">
        <v>17</v>
      </c>
      <c r="F236" s="71" t="s">
        <v>17</v>
      </c>
      <c r="G236" s="88">
        <v>28</v>
      </c>
      <c r="H236" s="71" t="s">
        <v>17</v>
      </c>
      <c r="I236" s="71" t="s">
        <v>17</v>
      </c>
      <c r="J236" s="22">
        <f t="shared" si="16"/>
        <v>1.1378875E-2</v>
      </c>
      <c r="K236" s="23"/>
      <c r="L236" s="24">
        <f t="shared" si="17"/>
        <v>0</v>
      </c>
      <c r="M236" s="114">
        <f t="shared" si="18"/>
        <v>0</v>
      </c>
      <c r="N236" s="162">
        <v>7.0000000000000007E-2</v>
      </c>
      <c r="O236" s="146">
        <f>Table3[[#This Row],[Order Quantity (Pkts)]]*Table3[[#This Row],[Column1]]</f>
        <v>0</v>
      </c>
    </row>
    <row r="237" spans="1:15" s="26" customFormat="1" ht="16.95" customHeight="1" x14ac:dyDescent="0.25">
      <c r="A237" s="142">
        <v>220</v>
      </c>
      <c r="B237" s="20" t="s">
        <v>145</v>
      </c>
      <c r="C237" s="32" t="s">
        <v>74</v>
      </c>
      <c r="D237" s="71" t="s">
        <v>17</v>
      </c>
      <c r="E237" s="71" t="s">
        <v>17</v>
      </c>
      <c r="F237" s="71" t="s">
        <v>17</v>
      </c>
      <c r="G237" s="88">
        <v>28</v>
      </c>
      <c r="H237" s="71" t="s">
        <v>17</v>
      </c>
      <c r="I237" s="71" t="s">
        <v>17</v>
      </c>
      <c r="J237" s="22">
        <f t="shared" si="16"/>
        <v>1.1378875E-2</v>
      </c>
      <c r="K237" s="23"/>
      <c r="L237" s="24">
        <f t="shared" si="17"/>
        <v>0</v>
      </c>
      <c r="M237" s="114">
        <f t="shared" si="18"/>
        <v>0</v>
      </c>
      <c r="N237" s="162">
        <v>7.0000000000000007E-2</v>
      </c>
      <c r="O237" s="146">
        <f>Table3[[#This Row],[Order Quantity (Pkts)]]*Table3[[#This Row],[Column1]]</f>
        <v>0</v>
      </c>
    </row>
    <row r="238" spans="1:15" s="26" customFormat="1" ht="17.399999999999999" customHeight="1" x14ac:dyDescent="0.25">
      <c r="A238" s="142">
        <v>221</v>
      </c>
      <c r="B238" s="20" t="s">
        <v>146</v>
      </c>
      <c r="C238" s="32" t="s">
        <v>21</v>
      </c>
      <c r="D238" s="71" t="s">
        <v>17</v>
      </c>
      <c r="E238" s="71" t="s">
        <v>17</v>
      </c>
      <c r="F238" s="71" t="s">
        <v>17</v>
      </c>
      <c r="G238" s="88">
        <v>28</v>
      </c>
      <c r="H238" s="71" t="s">
        <v>17</v>
      </c>
      <c r="I238" s="71" t="s">
        <v>17</v>
      </c>
      <c r="J238" s="22">
        <f t="shared" si="16"/>
        <v>1.1378875E-2</v>
      </c>
      <c r="K238" s="23"/>
      <c r="L238" s="24">
        <f t="shared" si="17"/>
        <v>0</v>
      </c>
      <c r="M238" s="114">
        <f t="shared" si="18"/>
        <v>0</v>
      </c>
      <c r="N238" s="162">
        <v>0.05</v>
      </c>
      <c r="O238" s="146">
        <f>Table3[[#This Row],[Order Quantity (Pkts)]]*Table3[[#This Row],[Column1]]</f>
        <v>0</v>
      </c>
    </row>
    <row r="239" spans="1:15" s="26" customFormat="1" ht="17.399999999999999" customHeight="1" x14ac:dyDescent="0.25">
      <c r="A239" s="142">
        <v>222</v>
      </c>
      <c r="B239" s="20" t="s">
        <v>147</v>
      </c>
      <c r="C239" s="32" t="s">
        <v>21</v>
      </c>
      <c r="D239" s="71" t="s">
        <v>17</v>
      </c>
      <c r="E239" s="71" t="s">
        <v>17</v>
      </c>
      <c r="F239" s="71" t="s">
        <v>17</v>
      </c>
      <c r="G239" s="88">
        <v>28</v>
      </c>
      <c r="H239" s="71" t="s">
        <v>17</v>
      </c>
      <c r="I239" s="71" t="s">
        <v>17</v>
      </c>
      <c r="J239" s="22">
        <f t="shared" si="16"/>
        <v>1.1378875E-2</v>
      </c>
      <c r="K239" s="23"/>
      <c r="L239" s="24">
        <f t="shared" si="17"/>
        <v>0</v>
      </c>
      <c r="M239" s="114">
        <f t="shared" si="18"/>
        <v>0</v>
      </c>
      <c r="N239" s="162">
        <v>0.05</v>
      </c>
      <c r="O239" s="146">
        <f>Table3[[#This Row],[Order Quantity (Pkts)]]*Table3[[#This Row],[Column1]]</f>
        <v>0</v>
      </c>
    </row>
    <row r="240" spans="1:15" x14ac:dyDescent="0.25">
      <c r="A240" s="142">
        <v>223</v>
      </c>
      <c r="B240" s="20" t="s">
        <v>148</v>
      </c>
      <c r="C240" s="28" t="s">
        <v>41</v>
      </c>
      <c r="D240" s="71" t="s">
        <v>17</v>
      </c>
      <c r="E240" s="71" t="s">
        <v>17</v>
      </c>
      <c r="F240" s="71" t="s">
        <v>17</v>
      </c>
      <c r="G240" s="88">
        <v>28</v>
      </c>
      <c r="H240" s="71" t="s">
        <v>17</v>
      </c>
      <c r="I240" s="71" t="s">
        <v>17</v>
      </c>
      <c r="J240" s="22">
        <f t="shared" si="16"/>
        <v>1.1378875E-2</v>
      </c>
      <c r="K240" s="23"/>
      <c r="L240" s="24">
        <f t="shared" si="17"/>
        <v>0</v>
      </c>
      <c r="M240" s="114">
        <f t="shared" si="18"/>
        <v>0</v>
      </c>
      <c r="N240" s="145">
        <v>0.06</v>
      </c>
      <c r="O240" s="146">
        <f>Table3[[#This Row],[Order Quantity (Pkts)]]*Table3[[#This Row],[Column1]]</f>
        <v>0</v>
      </c>
    </row>
    <row r="241" spans="1:15" x14ac:dyDescent="0.25">
      <c r="A241" s="142">
        <v>224</v>
      </c>
      <c r="B241" s="42" t="s">
        <v>149</v>
      </c>
      <c r="C241" s="32" t="s">
        <v>150</v>
      </c>
      <c r="D241" s="71" t="s">
        <v>17</v>
      </c>
      <c r="E241" s="71" t="s">
        <v>17</v>
      </c>
      <c r="F241" s="71" t="s">
        <v>17</v>
      </c>
      <c r="G241" s="88">
        <v>28</v>
      </c>
      <c r="H241" s="71" t="s">
        <v>17</v>
      </c>
      <c r="I241" s="71" t="s">
        <v>17</v>
      </c>
      <c r="J241" s="22">
        <f t="shared" si="16"/>
        <v>1.1378875E-2</v>
      </c>
      <c r="K241" s="23"/>
      <c r="L241" s="24">
        <f t="shared" si="17"/>
        <v>0</v>
      </c>
      <c r="M241" s="114">
        <f t="shared" si="18"/>
        <v>0</v>
      </c>
      <c r="N241" s="145">
        <v>0.04</v>
      </c>
      <c r="O241" s="146">
        <f>Table3[[#This Row],[Order Quantity (Pkts)]]*Table3[[#This Row],[Column1]]</f>
        <v>0</v>
      </c>
    </row>
    <row r="242" spans="1:15" x14ac:dyDescent="0.25">
      <c r="A242" s="142">
        <v>225</v>
      </c>
      <c r="B242" s="20" t="s">
        <v>151</v>
      </c>
      <c r="C242" s="32" t="s">
        <v>21</v>
      </c>
      <c r="D242" s="71" t="s">
        <v>17</v>
      </c>
      <c r="E242" s="71" t="s">
        <v>17</v>
      </c>
      <c r="F242" s="71" t="s">
        <v>17</v>
      </c>
      <c r="G242" s="88">
        <v>28</v>
      </c>
      <c r="H242" s="71" t="s">
        <v>17</v>
      </c>
      <c r="I242" s="71" t="s">
        <v>17</v>
      </c>
      <c r="J242" s="22">
        <f t="shared" si="16"/>
        <v>1.1378875E-2</v>
      </c>
      <c r="K242" s="23"/>
      <c r="L242" s="24">
        <f t="shared" si="17"/>
        <v>0</v>
      </c>
      <c r="M242" s="114">
        <f t="shared" si="18"/>
        <v>0</v>
      </c>
      <c r="N242" s="145">
        <v>0.05</v>
      </c>
      <c r="O242" s="146">
        <f>Table3[[#This Row],[Order Quantity (Pkts)]]*Table3[[#This Row],[Column1]]</f>
        <v>0</v>
      </c>
    </row>
    <row r="243" spans="1:15" s="26" customFormat="1" ht="14.25" customHeight="1" x14ac:dyDescent="0.25">
      <c r="A243" s="142">
        <v>226</v>
      </c>
      <c r="B243" s="20" t="s">
        <v>152</v>
      </c>
      <c r="C243" s="32" t="s">
        <v>41</v>
      </c>
      <c r="D243" s="71" t="s">
        <v>17</v>
      </c>
      <c r="E243" s="71" t="s">
        <v>17</v>
      </c>
      <c r="F243" s="71" t="s">
        <v>17</v>
      </c>
      <c r="G243" s="88">
        <v>28</v>
      </c>
      <c r="H243" s="71" t="s">
        <v>17</v>
      </c>
      <c r="I243" s="71" t="s">
        <v>17</v>
      </c>
      <c r="J243" s="22">
        <f t="shared" si="16"/>
        <v>1.1378875E-2</v>
      </c>
      <c r="K243" s="23"/>
      <c r="L243" s="24">
        <f t="shared" si="17"/>
        <v>0</v>
      </c>
      <c r="M243" s="114">
        <f t="shared" si="18"/>
        <v>0</v>
      </c>
      <c r="N243" s="162">
        <v>0.06</v>
      </c>
      <c r="O243" s="146">
        <f>Table3[[#This Row],[Order Quantity (Pkts)]]*Table3[[#This Row],[Column1]]</f>
        <v>0</v>
      </c>
    </row>
    <row r="244" spans="1:15" s="26" customFormat="1" ht="14.25" customHeight="1" x14ac:dyDescent="0.25">
      <c r="A244" s="142">
        <v>227</v>
      </c>
      <c r="B244" s="20" t="s">
        <v>169</v>
      </c>
      <c r="C244" s="32" t="s">
        <v>21</v>
      </c>
      <c r="D244" s="71"/>
      <c r="E244" s="71"/>
      <c r="F244" s="71"/>
      <c r="G244" s="88">
        <v>28</v>
      </c>
      <c r="H244" s="172"/>
      <c r="I244" s="71"/>
      <c r="J244" s="22">
        <f t="shared" si="16"/>
        <v>1.1378875E-2</v>
      </c>
      <c r="K244" s="23"/>
      <c r="L244" s="24">
        <f>K244*Table3[[#This Row],[Bottle /Canisters]]</f>
        <v>0</v>
      </c>
      <c r="M244" s="114">
        <f>K244*J244</f>
        <v>0</v>
      </c>
      <c r="N244" s="162">
        <v>0.05</v>
      </c>
      <c r="O244" s="146">
        <f>Table3[[#This Row],[Order Quantity (Pkts)]]*Table3[[#This Row],[Column1]]</f>
        <v>0</v>
      </c>
    </row>
    <row r="245" spans="1:15" s="26" customFormat="1" ht="14.25" customHeight="1" x14ac:dyDescent="0.25">
      <c r="A245" s="142">
        <v>228</v>
      </c>
      <c r="B245" s="20" t="s">
        <v>169</v>
      </c>
      <c r="C245" s="32" t="s">
        <v>21</v>
      </c>
      <c r="D245" s="71" t="s">
        <v>17</v>
      </c>
      <c r="E245" s="71" t="s">
        <v>17</v>
      </c>
      <c r="F245" s="53">
        <v>100</v>
      </c>
      <c r="G245" s="71" t="s">
        <v>17</v>
      </c>
      <c r="H245" s="71" t="s">
        <v>17</v>
      </c>
      <c r="I245" s="71" t="s">
        <v>17</v>
      </c>
      <c r="J245" s="22">
        <f t="shared" si="16"/>
        <v>1.1378875E-2</v>
      </c>
      <c r="K245" s="23"/>
      <c r="L245" s="24">
        <f>K245*Table3[[#This Row],[Standup pouch]]</f>
        <v>0</v>
      </c>
      <c r="M245" s="114">
        <f t="shared" si="18"/>
        <v>0</v>
      </c>
      <c r="N245" s="162">
        <v>0.05</v>
      </c>
      <c r="O245" s="146">
        <f>Table3[[#This Row],[Order Quantity (Pkts)]]*Table3[[#This Row],[Column1]]</f>
        <v>0</v>
      </c>
    </row>
    <row r="246" spans="1:15" s="26" customFormat="1" ht="14.25" customHeight="1" x14ac:dyDescent="0.25">
      <c r="A246" s="142">
        <v>229</v>
      </c>
      <c r="B246" s="20" t="s">
        <v>170</v>
      </c>
      <c r="C246" s="32" t="s">
        <v>21</v>
      </c>
      <c r="D246" s="71" t="s">
        <v>17</v>
      </c>
      <c r="E246" s="71" t="s">
        <v>17</v>
      </c>
      <c r="F246" s="53">
        <v>100</v>
      </c>
      <c r="G246" s="71" t="s">
        <v>17</v>
      </c>
      <c r="H246" s="71" t="s">
        <v>17</v>
      </c>
      <c r="I246" s="71" t="s">
        <v>17</v>
      </c>
      <c r="J246" s="22">
        <f t="shared" si="16"/>
        <v>1.1378875E-2</v>
      </c>
      <c r="K246" s="23"/>
      <c r="L246" s="24">
        <f>Table3[[#This Row],[Standup pouch]]*Table3[[#This Row],[BOX Quantity]]</f>
        <v>0</v>
      </c>
      <c r="M246" s="114">
        <f>K246*J246</f>
        <v>0</v>
      </c>
      <c r="N246" s="162">
        <v>0.05</v>
      </c>
      <c r="O246" s="146">
        <f>Table3[[#This Row],[Order Quantity (Pkts)]]*Table3[[#This Row],[Column1]]</f>
        <v>0</v>
      </c>
    </row>
    <row r="247" spans="1:15" s="26" customFormat="1" ht="14.25" customHeight="1" x14ac:dyDescent="0.25">
      <c r="A247" s="142">
        <v>230</v>
      </c>
      <c r="B247" s="20" t="s">
        <v>170</v>
      </c>
      <c r="C247" s="32" t="s">
        <v>41</v>
      </c>
      <c r="D247" s="71" t="s">
        <v>17</v>
      </c>
      <c r="E247" s="71" t="s">
        <v>17</v>
      </c>
      <c r="F247" s="71" t="s">
        <v>17</v>
      </c>
      <c r="G247" s="88">
        <v>28</v>
      </c>
      <c r="H247" s="71" t="s">
        <v>17</v>
      </c>
      <c r="I247" s="71" t="s">
        <v>17</v>
      </c>
      <c r="J247" s="22">
        <f t="shared" si="16"/>
        <v>1.1378875E-2</v>
      </c>
      <c r="K247" s="23"/>
      <c r="L247" s="24">
        <f t="shared" si="17"/>
        <v>0</v>
      </c>
      <c r="M247" s="114">
        <f t="shared" si="18"/>
        <v>0</v>
      </c>
      <c r="N247" s="162">
        <v>0.06</v>
      </c>
      <c r="O247" s="146">
        <f>Table3[[#This Row],[Order Quantity (Pkts)]]*Table3[[#This Row],[Column1]]</f>
        <v>0</v>
      </c>
    </row>
    <row r="248" spans="1:15" s="26" customFormat="1" ht="14.25" customHeight="1" x14ac:dyDescent="0.25">
      <c r="A248" s="142">
        <v>231</v>
      </c>
      <c r="B248" s="20" t="s">
        <v>170</v>
      </c>
      <c r="C248" s="32" t="s">
        <v>18</v>
      </c>
      <c r="D248" s="71" t="s">
        <v>17</v>
      </c>
      <c r="E248" s="53">
        <v>50</v>
      </c>
      <c r="F248" s="71" t="s">
        <v>17</v>
      </c>
      <c r="G248" s="71" t="s">
        <v>17</v>
      </c>
      <c r="H248" s="71" t="s">
        <v>17</v>
      </c>
      <c r="I248" s="71" t="s">
        <v>17</v>
      </c>
      <c r="J248" s="22">
        <f t="shared" si="16"/>
        <v>1.1378875E-2</v>
      </c>
      <c r="K248" s="23"/>
      <c r="L248" s="24">
        <f>Table3[[#This Row],[BOX Quantity]]*Table3[[#This Row],[Unprinted Pouch]]</f>
        <v>0</v>
      </c>
      <c r="M248" s="114">
        <f>K248*J248</f>
        <v>0</v>
      </c>
      <c r="N248" s="162">
        <v>0.05</v>
      </c>
      <c r="O248" s="146">
        <f>Table3[[#This Row],[Order Quantity (Pkts)]]*Table3[[#This Row],[Column1]]</f>
        <v>0</v>
      </c>
    </row>
    <row r="249" spans="1:15" s="26" customFormat="1" ht="14.25" customHeight="1" x14ac:dyDescent="0.25">
      <c r="A249" s="142">
        <v>232</v>
      </c>
      <c r="B249" s="20" t="s">
        <v>170</v>
      </c>
      <c r="C249" s="32" t="s">
        <v>22</v>
      </c>
      <c r="D249" s="71" t="s">
        <v>17</v>
      </c>
      <c r="E249" s="53">
        <v>24</v>
      </c>
      <c r="F249" s="71" t="s">
        <v>17</v>
      </c>
      <c r="G249" s="71" t="s">
        <v>17</v>
      </c>
      <c r="H249" s="71" t="s">
        <v>17</v>
      </c>
      <c r="I249" s="71" t="s">
        <v>17</v>
      </c>
      <c r="J249" s="22">
        <f t="shared" si="16"/>
        <v>1.1378875E-2</v>
      </c>
      <c r="K249" s="23"/>
      <c r="L249" s="24">
        <f>Table3[[#This Row],[BOX Quantity]]*Table3[[#This Row],[Unprinted Pouch]]</f>
        <v>0</v>
      </c>
      <c r="M249" s="114">
        <f>K249*J249</f>
        <v>0</v>
      </c>
      <c r="N249" s="162">
        <v>2.4E-2</v>
      </c>
      <c r="O249" s="146">
        <f>Table3[[#This Row],[Order Quantity (Pkts)]]*Table3[[#This Row],[Column1]]</f>
        <v>0</v>
      </c>
    </row>
    <row r="250" spans="1:15" s="26" customFormat="1" ht="14.25" customHeight="1" x14ac:dyDescent="0.25">
      <c r="A250" s="142">
        <v>233</v>
      </c>
      <c r="B250" s="20" t="s">
        <v>171</v>
      </c>
      <c r="C250" s="32" t="s">
        <v>21</v>
      </c>
      <c r="D250" s="71" t="s">
        <v>17</v>
      </c>
      <c r="E250" s="71" t="s">
        <v>17</v>
      </c>
      <c r="F250" s="53">
        <v>100</v>
      </c>
      <c r="G250" s="71" t="s">
        <v>17</v>
      </c>
      <c r="H250" s="71" t="s">
        <v>17</v>
      </c>
      <c r="I250" s="71" t="s">
        <v>17</v>
      </c>
      <c r="J250" s="22">
        <f t="shared" si="16"/>
        <v>1.1378875E-2</v>
      </c>
      <c r="K250" s="23"/>
      <c r="L250" s="24">
        <f>Table3[[#This Row],[Standup pouch]]*Table3[[#This Row],[BOX Quantity]]</f>
        <v>0</v>
      </c>
      <c r="M250" s="114">
        <f>K250*J250</f>
        <v>0</v>
      </c>
      <c r="N250" s="162">
        <v>0.1</v>
      </c>
      <c r="O250" s="146">
        <f>Table3[[#This Row],[Order Quantity (Pkts)]]*Table3[[#This Row],[Column1]]</f>
        <v>0</v>
      </c>
    </row>
    <row r="251" spans="1:15" x14ac:dyDescent="0.25">
      <c r="A251" s="142">
        <v>234</v>
      </c>
      <c r="B251" s="20" t="s">
        <v>171</v>
      </c>
      <c r="C251" s="32" t="s">
        <v>41</v>
      </c>
      <c r="D251" s="71" t="s">
        <v>17</v>
      </c>
      <c r="E251" s="71" t="s">
        <v>17</v>
      </c>
      <c r="F251" s="71" t="s">
        <v>17</v>
      </c>
      <c r="G251" s="88">
        <v>28</v>
      </c>
      <c r="H251" s="71" t="s">
        <v>17</v>
      </c>
      <c r="I251" s="71" t="s">
        <v>17</v>
      </c>
      <c r="J251" s="22">
        <f t="shared" si="16"/>
        <v>1.1378875E-2</v>
      </c>
      <c r="K251" s="23"/>
      <c r="L251" s="24">
        <f t="shared" si="17"/>
        <v>0</v>
      </c>
      <c r="M251" s="114">
        <f t="shared" si="18"/>
        <v>0</v>
      </c>
      <c r="N251" s="145">
        <v>0.06</v>
      </c>
      <c r="O251" s="146">
        <f>Table3[[#This Row],[Order Quantity (Pkts)]]*Table3[[#This Row],[Column1]]</f>
        <v>0</v>
      </c>
    </row>
    <row r="252" spans="1:15" x14ac:dyDescent="0.25">
      <c r="A252" s="142">
        <v>235</v>
      </c>
      <c r="B252" s="20" t="s">
        <v>172</v>
      </c>
      <c r="C252" s="32">
        <v>50</v>
      </c>
      <c r="D252" s="71" t="s">
        <v>17</v>
      </c>
      <c r="E252" s="71" t="s">
        <v>17</v>
      </c>
      <c r="F252" s="53">
        <v>100</v>
      </c>
      <c r="G252" s="53" t="s">
        <v>17</v>
      </c>
      <c r="H252" s="71" t="s">
        <v>17</v>
      </c>
      <c r="I252" s="71" t="s">
        <v>17</v>
      </c>
      <c r="J252" s="22">
        <f t="shared" si="16"/>
        <v>1.1378875E-2</v>
      </c>
      <c r="K252" s="23"/>
      <c r="L252" s="24">
        <f>Table3[[#This Row],[Standup pouch]]*Table3[[#This Row],[BOX Quantity]]</f>
        <v>0</v>
      </c>
      <c r="M252" s="114">
        <f>K252*J252</f>
        <v>0</v>
      </c>
      <c r="N252" s="162">
        <v>0.1</v>
      </c>
      <c r="O252" s="146">
        <f>Table3[[#This Row],[Order Quantity (Pkts)]]*Table3[[#This Row],[Column1]]</f>
        <v>0</v>
      </c>
    </row>
    <row r="253" spans="1:15" x14ac:dyDescent="0.25">
      <c r="A253" s="142">
        <v>236</v>
      </c>
      <c r="B253" s="20" t="s">
        <v>172</v>
      </c>
      <c r="C253" s="32" t="s">
        <v>41</v>
      </c>
      <c r="D253" s="71" t="s">
        <v>17</v>
      </c>
      <c r="E253" s="71" t="s">
        <v>17</v>
      </c>
      <c r="F253" s="71" t="s">
        <v>17</v>
      </c>
      <c r="G253" s="88">
        <v>28</v>
      </c>
      <c r="H253" s="71" t="s">
        <v>17</v>
      </c>
      <c r="I253" s="71" t="s">
        <v>17</v>
      </c>
      <c r="J253" s="22">
        <f t="shared" si="16"/>
        <v>1.1378875E-2</v>
      </c>
      <c r="K253" s="23"/>
      <c r="L253" s="24">
        <f t="shared" si="17"/>
        <v>0</v>
      </c>
      <c r="M253" s="114">
        <f t="shared" si="18"/>
        <v>0</v>
      </c>
      <c r="N253" s="145">
        <v>0.06</v>
      </c>
      <c r="O253" s="146">
        <f>Table3[[#This Row],[Order Quantity (Pkts)]]*Table3[[#This Row],[Column1]]</f>
        <v>0</v>
      </c>
    </row>
    <row r="254" spans="1:15" ht="13.2" customHeight="1" x14ac:dyDescent="0.25">
      <c r="A254" s="142">
        <v>237</v>
      </c>
      <c r="B254" s="20" t="s">
        <v>153</v>
      </c>
      <c r="C254" s="32" t="s">
        <v>150</v>
      </c>
      <c r="D254" s="71" t="s">
        <v>17</v>
      </c>
      <c r="E254" s="71" t="s">
        <v>17</v>
      </c>
      <c r="F254" s="71" t="s">
        <v>17</v>
      </c>
      <c r="G254" s="88">
        <v>28</v>
      </c>
      <c r="H254" s="71" t="s">
        <v>17</v>
      </c>
      <c r="I254" s="71" t="s">
        <v>17</v>
      </c>
      <c r="J254" s="22">
        <f t="shared" si="16"/>
        <v>1.1378875E-2</v>
      </c>
      <c r="K254" s="23"/>
      <c r="L254" s="24">
        <f t="shared" si="17"/>
        <v>0</v>
      </c>
      <c r="M254" s="114">
        <f t="shared" si="18"/>
        <v>0</v>
      </c>
      <c r="N254" s="145">
        <v>0.04</v>
      </c>
      <c r="O254" s="146">
        <f>Table3[[#This Row],[Order Quantity (Pkts)]]*Table3[[#This Row],[Column1]]</f>
        <v>0</v>
      </c>
    </row>
    <row r="255" spans="1:15" s="26" customFormat="1" ht="14.25" customHeight="1" x14ac:dyDescent="0.25">
      <c r="A255" s="142">
        <v>238</v>
      </c>
      <c r="B255" s="20" t="s">
        <v>154</v>
      </c>
      <c r="C255" s="32" t="s">
        <v>40</v>
      </c>
      <c r="D255" s="71" t="s">
        <v>17</v>
      </c>
      <c r="E255" s="71" t="s">
        <v>17</v>
      </c>
      <c r="F255" s="71" t="s">
        <v>17</v>
      </c>
      <c r="G255" s="88">
        <v>30</v>
      </c>
      <c r="H255" s="71" t="s">
        <v>17</v>
      </c>
      <c r="I255" s="71" t="s">
        <v>17</v>
      </c>
      <c r="J255" s="22">
        <f>(14.5*36.5*21.5)/1000000</f>
        <v>1.1378875E-2</v>
      </c>
      <c r="K255" s="23"/>
      <c r="L255" s="24">
        <f t="shared" si="17"/>
        <v>0</v>
      </c>
      <c r="M255" s="114">
        <f t="shared" si="18"/>
        <v>0</v>
      </c>
      <c r="N255" s="162">
        <v>0.08</v>
      </c>
      <c r="O255" s="146">
        <f>Table3[[#This Row],[Order Quantity (Pkts)]]*Table3[[#This Row],[Column1]]</f>
        <v>0</v>
      </c>
    </row>
    <row r="256" spans="1:15" s="26" customFormat="1" ht="14.25" customHeight="1" x14ac:dyDescent="0.25">
      <c r="A256" s="142">
        <v>239</v>
      </c>
      <c r="B256" s="20" t="s">
        <v>154</v>
      </c>
      <c r="C256" s="32" t="s">
        <v>31</v>
      </c>
      <c r="D256" s="71" t="s">
        <v>17</v>
      </c>
      <c r="E256" s="71" t="s">
        <v>17</v>
      </c>
      <c r="F256" s="71" t="s">
        <v>17</v>
      </c>
      <c r="G256" s="86">
        <v>15</v>
      </c>
      <c r="H256" s="71" t="s">
        <v>17</v>
      </c>
      <c r="I256" s="71" t="s">
        <v>17</v>
      </c>
      <c r="J256" s="22">
        <f>(14.5*36.5*21.5)/1000000</f>
        <v>1.1378875E-2</v>
      </c>
      <c r="K256" s="23"/>
      <c r="L256" s="24">
        <f t="shared" si="17"/>
        <v>0</v>
      </c>
      <c r="M256" s="114">
        <f t="shared" si="18"/>
        <v>0</v>
      </c>
      <c r="N256" s="162">
        <v>0.2</v>
      </c>
      <c r="O256" s="146">
        <f>Table3[[#This Row],[Order Quantity (Pkts)]]*Table3[[#This Row],[Column1]]</f>
        <v>0</v>
      </c>
    </row>
    <row r="257" spans="1:15" s="26" customFormat="1" ht="14.25" customHeight="1" x14ac:dyDescent="0.25">
      <c r="A257" s="142">
        <v>240</v>
      </c>
      <c r="B257" s="20" t="s">
        <v>155</v>
      </c>
      <c r="C257" s="32" t="s">
        <v>18</v>
      </c>
      <c r="D257" s="71" t="s">
        <v>17</v>
      </c>
      <c r="E257" s="71" t="s">
        <v>17</v>
      </c>
      <c r="F257" s="71" t="s">
        <v>17</v>
      </c>
      <c r="G257" s="88">
        <v>24</v>
      </c>
      <c r="H257" s="71" t="s">
        <v>17</v>
      </c>
      <c r="I257" s="71" t="s">
        <v>17</v>
      </c>
      <c r="J257" s="115">
        <f>(20*29*22)/1000000</f>
        <v>1.2760000000000001E-2</v>
      </c>
      <c r="K257" s="23"/>
      <c r="L257" s="24">
        <f t="shared" si="17"/>
        <v>0</v>
      </c>
      <c r="M257" s="114">
        <f t="shared" si="18"/>
        <v>0</v>
      </c>
      <c r="N257" s="162">
        <v>0.25</v>
      </c>
      <c r="O257" s="146">
        <f>Table3[[#This Row],[Order Quantity (Pkts)]]*Table3[[#This Row],[Column1]]</f>
        <v>0</v>
      </c>
    </row>
    <row r="258" spans="1:15" s="26" customFormat="1" ht="14.25" customHeight="1" x14ac:dyDescent="0.25">
      <c r="A258" s="142">
        <v>241</v>
      </c>
      <c r="B258" s="20" t="s">
        <v>156</v>
      </c>
      <c r="C258" s="32" t="s">
        <v>21</v>
      </c>
      <c r="D258" s="71" t="s">
        <v>17</v>
      </c>
      <c r="E258" s="71" t="s">
        <v>17</v>
      </c>
      <c r="F258" s="71" t="s">
        <v>17</v>
      </c>
      <c r="G258" s="71" t="s">
        <v>17</v>
      </c>
      <c r="H258" s="88">
        <v>88</v>
      </c>
      <c r="I258" s="71" t="s">
        <v>17</v>
      </c>
      <c r="J258" s="27">
        <v>3.1E-2</v>
      </c>
      <c r="K258" s="23"/>
      <c r="L258" s="24">
        <f>K258*H258</f>
        <v>0</v>
      </c>
      <c r="M258" s="114">
        <f t="shared" si="18"/>
        <v>0</v>
      </c>
      <c r="N258" s="162">
        <v>0.05</v>
      </c>
      <c r="O258" s="146">
        <f>Table3[[#This Row],[Order Quantity (Pkts)]]*Table3[[#This Row],[Column1]]</f>
        <v>0</v>
      </c>
    </row>
    <row r="259" spans="1:15" s="26" customFormat="1" ht="14.25" customHeight="1" x14ac:dyDescent="0.25">
      <c r="A259" s="142">
        <v>242</v>
      </c>
      <c r="B259" s="20" t="s">
        <v>157</v>
      </c>
      <c r="C259" s="32" t="s">
        <v>21</v>
      </c>
      <c r="D259" s="71" t="s">
        <v>17</v>
      </c>
      <c r="E259" s="71" t="s">
        <v>17</v>
      </c>
      <c r="F259" s="71" t="s">
        <v>17</v>
      </c>
      <c r="G259" s="71" t="s">
        <v>17</v>
      </c>
      <c r="H259" s="86">
        <v>88</v>
      </c>
      <c r="I259" s="71" t="s">
        <v>17</v>
      </c>
      <c r="J259" s="27">
        <v>3.1E-2</v>
      </c>
      <c r="K259" s="23"/>
      <c r="L259" s="24">
        <f>K259*H259</f>
        <v>0</v>
      </c>
      <c r="M259" s="114">
        <f t="shared" si="18"/>
        <v>0</v>
      </c>
      <c r="N259" s="162">
        <v>0.05</v>
      </c>
      <c r="O259" s="146">
        <f>Table3[[#This Row],[Order Quantity (Pkts)]]*Table3[[#This Row],[Column1]]</f>
        <v>0</v>
      </c>
    </row>
    <row r="260" spans="1:15" s="26" customFormat="1" ht="14.25" customHeight="1" x14ac:dyDescent="0.25">
      <c r="A260" s="142">
        <v>243</v>
      </c>
      <c r="B260" s="20" t="s">
        <v>158</v>
      </c>
      <c r="C260" s="32" t="s">
        <v>21</v>
      </c>
      <c r="D260" s="71" t="s">
        <v>17</v>
      </c>
      <c r="E260" s="71" t="s">
        <v>17</v>
      </c>
      <c r="F260" s="71" t="s">
        <v>17</v>
      </c>
      <c r="G260" s="71" t="s">
        <v>17</v>
      </c>
      <c r="H260" s="88">
        <v>88</v>
      </c>
      <c r="I260" s="71" t="s">
        <v>17</v>
      </c>
      <c r="J260" s="27">
        <v>3.1E-2</v>
      </c>
      <c r="K260" s="23"/>
      <c r="L260" s="24">
        <f>K260*H260</f>
        <v>0</v>
      </c>
      <c r="M260" s="114">
        <f t="shared" si="18"/>
        <v>0</v>
      </c>
      <c r="N260" s="162">
        <v>0.05</v>
      </c>
      <c r="O260" s="146">
        <f>Table3[[#This Row],[Order Quantity (Pkts)]]*Table3[[#This Row],[Column1]]</f>
        <v>0</v>
      </c>
    </row>
    <row r="261" spans="1:15" s="26" customFormat="1" ht="14.25" customHeight="1" x14ac:dyDescent="0.25">
      <c r="A261" s="142">
        <v>244</v>
      </c>
      <c r="B261" s="20" t="s">
        <v>159</v>
      </c>
      <c r="C261" s="32" t="s">
        <v>21</v>
      </c>
      <c r="D261" s="71" t="s">
        <v>17</v>
      </c>
      <c r="E261" s="71" t="s">
        <v>17</v>
      </c>
      <c r="F261" s="71" t="s">
        <v>17</v>
      </c>
      <c r="G261" s="71" t="s">
        <v>17</v>
      </c>
      <c r="H261" s="86">
        <v>88</v>
      </c>
      <c r="I261" s="71" t="s">
        <v>17</v>
      </c>
      <c r="J261" s="27">
        <v>3.1E-2</v>
      </c>
      <c r="K261" s="23"/>
      <c r="L261" s="24">
        <f>K261*H261</f>
        <v>0</v>
      </c>
      <c r="M261" s="114">
        <f t="shared" si="18"/>
        <v>0</v>
      </c>
      <c r="N261" s="162">
        <v>0.05</v>
      </c>
      <c r="O261" s="146">
        <f>Table3[[#This Row],[Order Quantity (Pkts)]]*Table3[[#This Row],[Column1]]</f>
        <v>0</v>
      </c>
    </row>
    <row r="262" spans="1:15" ht="14.4" thickBot="1" x14ac:dyDescent="0.3">
      <c r="A262" s="142">
        <v>245</v>
      </c>
      <c r="B262" s="116" t="s">
        <v>160</v>
      </c>
      <c r="C262" s="117" t="s">
        <v>21</v>
      </c>
      <c r="D262" s="118" t="s">
        <v>17</v>
      </c>
      <c r="E262" s="118" t="s">
        <v>17</v>
      </c>
      <c r="F262" s="118" t="s">
        <v>17</v>
      </c>
      <c r="G262" s="71" t="s">
        <v>17</v>
      </c>
      <c r="H262" s="119">
        <v>88</v>
      </c>
      <c r="I262" s="118" t="s">
        <v>17</v>
      </c>
      <c r="J262" s="120">
        <v>3.1E-2</v>
      </c>
      <c r="K262" s="23"/>
      <c r="L262" s="121">
        <f>K262*H262</f>
        <v>0</v>
      </c>
      <c r="M262" s="122">
        <f t="shared" si="18"/>
        <v>0</v>
      </c>
      <c r="N262" s="145">
        <v>0.05</v>
      </c>
      <c r="O262" s="146">
        <f>Table3[[#This Row],[Order Quantity (Pkts)]]*Table3[[#This Row],[Column1]]</f>
        <v>0</v>
      </c>
    </row>
    <row r="263" spans="1:15" ht="15" customHeight="1" thickBot="1" x14ac:dyDescent="0.3">
      <c r="A263" s="123"/>
      <c r="B263" s="124"/>
      <c r="C263" s="125"/>
      <c r="D263" s="126"/>
      <c r="E263" s="127"/>
      <c r="F263" s="127"/>
      <c r="G263" s="127"/>
      <c r="H263" s="179" t="s">
        <v>161</v>
      </c>
      <c r="I263" s="180"/>
      <c r="J263" s="181"/>
      <c r="K263" s="128">
        <f>SUM(K6:K262)</f>
        <v>0</v>
      </c>
      <c r="L263" s="129">
        <f>SUM(L12:L262)</f>
        <v>0</v>
      </c>
      <c r="M263" s="130">
        <f>SUM(M12:M262)</f>
        <v>0</v>
      </c>
    </row>
    <row r="264" spans="1:15" x14ac:dyDescent="0.25">
      <c r="A264" s="131"/>
      <c r="B264" s="133" t="s">
        <v>177</v>
      </c>
      <c r="L264" s="132"/>
    </row>
  </sheetData>
  <mergeCells count="2">
    <mergeCell ref="B2:K2"/>
    <mergeCell ref="H263:J263"/>
  </mergeCells>
  <phoneticPr fontId="14" type="noConversion"/>
  <dataValidations count="1">
    <dataValidation type="list" allowBlank="1" showInputMessage="1" showErrorMessage="1" sqref="F30" xr:uid="{34F14980-37DE-475A-8591-D43CCA8A7F6D}">
      <formula1>"70,90"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OIF 09.17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2025-09-01T08:20:09Z</dcterms:created>
  <dcterms:modified xsi:type="dcterms:W3CDTF">2026-09-17T05:13:13Z</dcterms:modified>
</cp:coreProperties>
</file>